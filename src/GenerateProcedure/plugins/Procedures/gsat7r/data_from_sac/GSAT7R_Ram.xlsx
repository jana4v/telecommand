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1" i="2"/>
  <c r="K11"/>
  <c r="J11"/>
  <c r="I11"/>
  <c r="G15"/>
  <c r="F15"/>
  <c r="G13"/>
  <c r="F13"/>
  <c r="G14"/>
  <c r="G12"/>
  <c r="F14"/>
  <c r="F12"/>
  <c r="F11"/>
  <c r="G11"/>
  <c r="D12"/>
  <c r="D13"/>
  <c r="D14"/>
  <c r="D15"/>
  <c r="D16"/>
  <c r="D17"/>
  <c r="D18"/>
  <c r="D11"/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"/>
  <c r="E3"/>
  <c r="F3"/>
  <c r="E4"/>
  <c r="F4"/>
  <c r="E5"/>
  <c r="F5"/>
  <c r="E6"/>
  <c r="F6"/>
  <c r="E7"/>
  <c r="F7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F2"/>
  <c r="E2"/>
</calcChain>
</file>

<file path=xl/sharedStrings.xml><?xml version="1.0" encoding="utf-8"?>
<sst xmlns="http://schemas.openxmlformats.org/spreadsheetml/2006/main" count="28" uniqueCount="27">
  <si>
    <t>RT Address</t>
  </si>
  <si>
    <t>SUB Address</t>
  </si>
  <si>
    <t>no of 8 Bit words</t>
  </si>
  <si>
    <t>Return link channelizers Input Band Select</t>
  </si>
  <si>
    <t>001</t>
  </si>
  <si>
    <t>010</t>
  </si>
  <si>
    <t>011</t>
  </si>
  <si>
    <t>100</t>
  </si>
  <si>
    <t>101</t>
  </si>
  <si>
    <t>110</t>
  </si>
  <si>
    <t>Freq</t>
  </si>
  <si>
    <t>Code</t>
  </si>
  <si>
    <t>Channelizer IP</t>
  </si>
  <si>
    <t>A-M1</t>
  </si>
  <si>
    <t>B-M1</t>
  </si>
  <si>
    <t>A-M2</t>
  </si>
  <si>
    <t>B-M2</t>
  </si>
  <si>
    <t>A-R1</t>
  </si>
  <si>
    <t>B-R2</t>
  </si>
  <si>
    <t>B-R1</t>
  </si>
  <si>
    <t>A-R2</t>
  </si>
  <si>
    <t>W1</t>
  </si>
  <si>
    <t>W2</t>
  </si>
  <si>
    <t>W1-L</t>
  </si>
  <si>
    <t>W1-H</t>
  </si>
  <si>
    <t>W2-L</t>
  </si>
  <si>
    <t>W2-H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</si>
</sst>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J6" sqref="J6:N6"/>
    </sheetView>
  </sheetViews>
  <sheetFormatPr defaultRowHeight="15"/>
  <cols>
    <col min="2" max="2" width="10.7109375" bestFit="1" customWidth="1"/>
    <col min="3" max="3" width="12" bestFit="1" customWidth="1"/>
    <col min="4" max="4" width="15.85546875" bestFit="1" customWidth="1"/>
    <col min="7" max="7" width="11" bestFit="1" customWidth="1"/>
    <col min="9" max="9" width="39.7109375" bestFit="1" customWidth="1"/>
  </cols>
  <sheetData>
    <row r="1" spans="1:9">
      <c r="B1" t="s">
        <v>0</v>
      </c>
      <c r="C1" t="s">
        <v>1</v>
      </c>
      <c r="D1" t="s">
        <v>2</v>
      </c>
    </row>
    <row r="2" spans="1:9">
      <c r="A2" s="1"/>
      <c r="B2">
        <v>3</v>
      </c>
      <c r="C2">
        <v>1</v>
      </c>
      <c r="D2">
        <v>2</v>
      </c>
      <c r="E2" t="str">
        <f>DEC2BIN(B2,5)</f>
        <v>00011</v>
      </c>
      <c r="F2" t="str">
        <f>DEC2BIN(C2,5)</f>
        <v>00001</v>
      </c>
      <c r="G2" t="str">
        <f>CONCATENATE(E2,F2)</f>
        <v>0001100001</v>
      </c>
      <c r="H2" t="str">
        <f>BIN2HEX(G2,4)</f>
        <v>0061</v>
      </c>
    </row>
    <row r="3" spans="1:9">
      <c r="A3" s="1"/>
      <c r="B3">
        <v>3</v>
      </c>
      <c r="C3">
        <v>2</v>
      </c>
      <c r="D3">
        <v>2</v>
      </c>
      <c r="E3" t="str">
        <f t="shared" ref="E3:E20" si="0">DEC2BIN(B3,5)</f>
        <v>00011</v>
      </c>
      <c r="F3" t="str">
        <f t="shared" ref="F3:F20" si="1">DEC2BIN(C3,5)</f>
        <v>00010</v>
      </c>
      <c r="G3" t="str">
        <f t="shared" ref="G3:G20" si="2">CONCATENATE(E3,F3)</f>
        <v>0001100010</v>
      </c>
      <c r="H3" t="str">
        <f t="shared" ref="H3:H20" si="3">BIN2HEX(G3,4)</f>
        <v>0062</v>
      </c>
    </row>
    <row r="4" spans="1:9">
      <c r="A4" s="1"/>
      <c r="B4">
        <v>3</v>
      </c>
      <c r="C4">
        <v>3</v>
      </c>
      <c r="D4">
        <v>2</v>
      </c>
      <c r="E4" t="str">
        <f t="shared" si="0"/>
        <v>00011</v>
      </c>
      <c r="F4" t="str">
        <f t="shared" si="1"/>
        <v>00011</v>
      </c>
      <c r="G4" t="str">
        <f t="shared" si="2"/>
        <v>0001100011</v>
      </c>
      <c r="H4" t="str">
        <f t="shared" si="3"/>
        <v>0063</v>
      </c>
    </row>
    <row r="5" spans="1:9">
      <c r="A5" s="1"/>
      <c r="B5">
        <v>3</v>
      </c>
      <c r="C5">
        <v>4</v>
      </c>
      <c r="D5">
        <v>6</v>
      </c>
      <c r="E5" t="str">
        <f t="shared" si="0"/>
        <v>00011</v>
      </c>
      <c r="F5" t="str">
        <f t="shared" si="1"/>
        <v>00100</v>
      </c>
      <c r="G5" t="str">
        <f t="shared" si="2"/>
        <v>0001100100</v>
      </c>
      <c r="H5" t="str">
        <f t="shared" si="3"/>
        <v>0064</v>
      </c>
    </row>
    <row r="6" spans="1:9">
      <c r="A6" s="2"/>
      <c r="B6">
        <v>3</v>
      </c>
      <c r="C6">
        <v>5</v>
      </c>
      <c r="D6">
        <v>4</v>
      </c>
      <c r="E6" t="str">
        <f t="shared" si="0"/>
        <v>00011</v>
      </c>
      <c r="F6" t="str">
        <f t="shared" si="1"/>
        <v>00101</v>
      </c>
      <c r="G6" t="str">
        <f t="shared" si="2"/>
        <v>0001100101</v>
      </c>
      <c r="H6" t="str">
        <f t="shared" si="3"/>
        <v>0065</v>
      </c>
      <c r="I6" s="3" t="s">
        <v>3</v>
      </c>
    </row>
    <row r="7" spans="1:9">
      <c r="A7" s="2"/>
      <c r="B7">
        <v>3</v>
      </c>
      <c r="C7">
        <v>6</v>
      </c>
      <c r="D7">
        <v>2</v>
      </c>
      <c r="E7" t="str">
        <f t="shared" si="0"/>
        <v>00011</v>
      </c>
      <c r="F7" t="str">
        <f t="shared" si="1"/>
        <v>00110</v>
      </c>
      <c r="G7" t="str">
        <f t="shared" si="2"/>
        <v>0001100110</v>
      </c>
      <c r="H7" t="str">
        <f t="shared" si="3"/>
        <v>0066</v>
      </c>
      <c r="I7" s="4"/>
    </row>
    <row r="8" spans="1:9">
      <c r="A8" s="2"/>
      <c r="B8">
        <v>3</v>
      </c>
      <c r="C8">
        <v>7</v>
      </c>
      <c r="D8">
        <v>2</v>
      </c>
      <c r="E8" t="str">
        <f t="shared" si="0"/>
        <v>00011</v>
      </c>
      <c r="F8" t="str">
        <f t="shared" si="1"/>
        <v>00111</v>
      </c>
      <c r="G8" t="str">
        <f t="shared" si="2"/>
        <v>0001100111</v>
      </c>
      <c r="H8" t="str">
        <f t="shared" si="3"/>
        <v>0067</v>
      </c>
    </row>
    <row r="9" spans="1:9">
      <c r="A9" s="2"/>
      <c r="B9">
        <v>3</v>
      </c>
      <c r="C9">
        <v>8</v>
      </c>
      <c r="D9">
        <v>2</v>
      </c>
      <c r="E9" t="str">
        <f t="shared" si="0"/>
        <v>00011</v>
      </c>
      <c r="F9" t="str">
        <f t="shared" si="1"/>
        <v>01000</v>
      </c>
      <c r="G9" t="str">
        <f t="shared" si="2"/>
        <v>0001101000</v>
      </c>
      <c r="H9" t="str">
        <f t="shared" si="3"/>
        <v>0068</v>
      </c>
    </row>
    <row r="10" spans="1:9">
      <c r="A10" s="2"/>
      <c r="B10">
        <v>3</v>
      </c>
      <c r="C10">
        <v>9</v>
      </c>
      <c r="D10">
        <v>2</v>
      </c>
      <c r="E10" t="str">
        <f t="shared" si="0"/>
        <v>00011</v>
      </c>
      <c r="F10" t="str">
        <f t="shared" si="1"/>
        <v>01001</v>
      </c>
      <c r="G10" t="str">
        <f t="shared" si="2"/>
        <v>0001101001</v>
      </c>
      <c r="H10" t="str">
        <f t="shared" si="3"/>
        <v>0069</v>
      </c>
    </row>
    <row r="11" spans="1:9">
      <c r="A11" s="2"/>
      <c r="B11">
        <v>3</v>
      </c>
      <c r="C11">
        <v>10</v>
      </c>
      <c r="D11">
        <v>24</v>
      </c>
      <c r="E11" t="str">
        <f t="shared" si="0"/>
        <v>00011</v>
      </c>
      <c r="F11" t="str">
        <f t="shared" si="1"/>
        <v>01010</v>
      </c>
      <c r="G11" t="str">
        <f t="shared" si="2"/>
        <v>0001101010</v>
      </c>
      <c r="H11" t="str">
        <f t="shared" si="3"/>
        <v>006A</v>
      </c>
    </row>
    <row r="12" spans="1:9">
      <c r="A12" s="2"/>
      <c r="B12">
        <v>3</v>
      </c>
      <c r="C12">
        <v>11</v>
      </c>
      <c r="D12">
        <v>4</v>
      </c>
      <c r="E12" t="str">
        <f t="shared" si="0"/>
        <v>00011</v>
      </c>
      <c r="F12" t="str">
        <f t="shared" si="1"/>
        <v>01011</v>
      </c>
      <c r="G12" t="str">
        <f t="shared" si="2"/>
        <v>0001101011</v>
      </c>
      <c r="H12" t="str">
        <f t="shared" si="3"/>
        <v>006B</v>
      </c>
    </row>
    <row r="13" spans="1:9">
      <c r="A13" s="2"/>
      <c r="B13">
        <v>3</v>
      </c>
      <c r="C13">
        <v>12</v>
      </c>
      <c r="D13">
        <v>16</v>
      </c>
      <c r="E13" t="str">
        <f t="shared" si="0"/>
        <v>00011</v>
      </c>
      <c r="F13" t="str">
        <f t="shared" si="1"/>
        <v>01100</v>
      </c>
      <c r="G13" t="str">
        <f t="shared" si="2"/>
        <v>0001101100</v>
      </c>
      <c r="H13" t="str">
        <f t="shared" si="3"/>
        <v>006C</v>
      </c>
    </row>
    <row r="14" spans="1:9">
      <c r="A14" s="2"/>
      <c r="B14">
        <v>3</v>
      </c>
      <c r="C14">
        <v>13</v>
      </c>
      <c r="D14">
        <v>8</v>
      </c>
      <c r="E14" t="str">
        <f t="shared" si="0"/>
        <v>00011</v>
      </c>
      <c r="F14" t="str">
        <f t="shared" si="1"/>
        <v>01101</v>
      </c>
      <c r="G14" t="str">
        <f t="shared" si="2"/>
        <v>0001101101</v>
      </c>
      <c r="H14" t="str">
        <f t="shared" si="3"/>
        <v>006D</v>
      </c>
    </row>
    <row r="15" spans="1:9">
      <c r="A15" s="2"/>
      <c r="B15">
        <v>3</v>
      </c>
      <c r="C15">
        <v>14</v>
      </c>
      <c r="D15">
        <v>2</v>
      </c>
      <c r="E15" t="str">
        <f t="shared" si="0"/>
        <v>00011</v>
      </c>
      <c r="F15" t="str">
        <f t="shared" si="1"/>
        <v>01110</v>
      </c>
      <c r="G15" t="str">
        <f t="shared" si="2"/>
        <v>0001101110</v>
      </c>
      <c r="H15" t="str">
        <f t="shared" si="3"/>
        <v>006E</v>
      </c>
    </row>
    <row r="16" spans="1:9">
      <c r="A16" s="2"/>
      <c r="B16">
        <v>3</v>
      </c>
      <c r="C16">
        <v>15</v>
      </c>
      <c r="D16">
        <v>2</v>
      </c>
      <c r="E16" t="str">
        <f t="shared" si="0"/>
        <v>00011</v>
      </c>
      <c r="F16" t="str">
        <f t="shared" si="1"/>
        <v>01111</v>
      </c>
      <c r="G16" t="str">
        <f t="shared" si="2"/>
        <v>0001101111</v>
      </c>
      <c r="H16" t="str">
        <f t="shared" si="3"/>
        <v>006F</v>
      </c>
    </row>
    <row r="17" spans="1:8">
      <c r="A17" s="2"/>
      <c r="B17">
        <v>3</v>
      </c>
      <c r="C17">
        <v>16</v>
      </c>
      <c r="D17">
        <v>4</v>
      </c>
      <c r="E17" t="str">
        <f t="shared" si="0"/>
        <v>00011</v>
      </c>
      <c r="F17" t="str">
        <f t="shared" si="1"/>
        <v>10000</v>
      </c>
      <c r="G17" t="str">
        <f t="shared" si="2"/>
        <v>0001110000</v>
      </c>
      <c r="H17" t="str">
        <f t="shared" si="3"/>
        <v>0070</v>
      </c>
    </row>
    <row r="18" spans="1:8">
      <c r="A18" s="2"/>
      <c r="B18">
        <v>3</v>
      </c>
      <c r="C18">
        <v>17</v>
      </c>
      <c r="D18">
        <v>2</v>
      </c>
      <c r="E18" t="str">
        <f t="shared" si="0"/>
        <v>00011</v>
      </c>
      <c r="F18" t="str">
        <f t="shared" si="1"/>
        <v>10001</v>
      </c>
      <c r="G18" t="str">
        <f t="shared" si="2"/>
        <v>0001110001</v>
      </c>
      <c r="H18" t="str">
        <f t="shared" si="3"/>
        <v>0071</v>
      </c>
    </row>
    <row r="19" spans="1:8">
      <c r="A19" s="2"/>
      <c r="B19">
        <v>3</v>
      </c>
      <c r="C19">
        <v>18</v>
      </c>
      <c r="D19">
        <v>2</v>
      </c>
      <c r="E19" t="str">
        <f t="shared" si="0"/>
        <v>00011</v>
      </c>
      <c r="F19" t="str">
        <f t="shared" si="1"/>
        <v>10010</v>
      </c>
      <c r="G19" t="str">
        <f t="shared" si="2"/>
        <v>0001110010</v>
      </c>
      <c r="H19" t="str">
        <f t="shared" si="3"/>
        <v>0072</v>
      </c>
    </row>
    <row r="20" spans="1:8">
      <c r="A20" s="2"/>
      <c r="B20">
        <v>3</v>
      </c>
      <c r="C20">
        <v>19</v>
      </c>
      <c r="D20">
        <v>2</v>
      </c>
      <c r="E20" t="str">
        <f t="shared" si="0"/>
        <v>00011</v>
      </c>
      <c r="F20" t="str">
        <f t="shared" si="1"/>
        <v>10011</v>
      </c>
      <c r="G20" t="str">
        <f t="shared" si="2"/>
        <v>0001110011</v>
      </c>
      <c r="H20" t="str">
        <f t="shared" si="3"/>
        <v>0073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selection activeCell="Y5" sqref="Y5"/>
    </sheetView>
  </sheetViews>
  <sheetFormatPr defaultRowHeight="15"/>
  <cols>
    <col min="1" max="1" width="6" bestFit="1" customWidth="1"/>
    <col min="3" max="3" width="13.85546875" bestFit="1" customWidth="1"/>
    <col min="6" max="6" width="16.140625" bestFit="1" customWidth="1"/>
    <col min="7" max="7" width="10" bestFit="1" customWidth="1"/>
  </cols>
  <sheetData>
    <row r="1" spans="1:12">
      <c r="A1" t="s">
        <v>10</v>
      </c>
      <c r="B1" t="s">
        <v>11</v>
      </c>
    </row>
    <row r="2" spans="1:12">
      <c r="A2">
        <v>292.5</v>
      </c>
      <c r="B2" s="5" t="s">
        <v>4</v>
      </c>
    </row>
    <row r="3" spans="1:12">
      <c r="A3">
        <v>297.5</v>
      </c>
      <c r="B3" s="5" t="s">
        <v>5</v>
      </c>
    </row>
    <row r="4" spans="1:12">
      <c r="A4">
        <v>302.5</v>
      </c>
      <c r="B4" s="5" t="s">
        <v>6</v>
      </c>
    </row>
    <row r="5" spans="1:12">
      <c r="A5">
        <v>307.5</v>
      </c>
      <c r="B5" s="5" t="s">
        <v>7</v>
      </c>
    </row>
    <row r="6" spans="1:12">
      <c r="A6">
        <v>312.5</v>
      </c>
      <c r="B6" s="5" t="s">
        <v>8</v>
      </c>
    </row>
    <row r="7" spans="1:12">
      <c r="A7">
        <v>317.5</v>
      </c>
      <c r="B7" s="5" t="s">
        <v>9</v>
      </c>
    </row>
    <row r="10" spans="1:12">
      <c r="B10" s="5" t="s">
        <v>10</v>
      </c>
      <c r="C10" t="s">
        <v>12</v>
      </c>
      <c r="F10" t="s">
        <v>21</v>
      </c>
      <c r="G10" t="s">
        <v>22</v>
      </c>
      <c r="I10" t="s">
        <v>23</v>
      </c>
      <c r="J10" t="s">
        <v>24</v>
      </c>
      <c r="K10" t="s">
        <v>25</v>
      </c>
      <c r="L10" t="s">
        <v>26</v>
      </c>
    </row>
    <row r="11" spans="1:12">
      <c r="B11">
        <v>292.5</v>
      </c>
      <c r="C11" t="s">
        <v>13</v>
      </c>
      <c r="D11" t="str">
        <f>VLOOKUP(B11,$A$2:$B$7,2,FALSE)</f>
        <v>001</v>
      </c>
      <c r="F11" t="str">
        <f>CONCATENATE(D15,D14,D13,D12,D11)</f>
        <v>100011010001001</v>
      </c>
      <c r="G11" t="str">
        <f>CONCATENATE(D18,D17,D16)</f>
        <v>110110101</v>
      </c>
      <c r="I11" t="str">
        <f>F13</f>
        <v>89</v>
      </c>
      <c r="J11" t="str">
        <f>F15</f>
        <v>46</v>
      </c>
      <c r="K11" t="str">
        <f>G13</f>
        <v>B5</v>
      </c>
      <c r="L11" t="str">
        <f>G15</f>
        <v>01</v>
      </c>
    </row>
    <row r="12" spans="1:12">
      <c r="B12">
        <v>292.5</v>
      </c>
      <c r="C12" t="s">
        <v>14</v>
      </c>
      <c r="D12" t="str">
        <f t="shared" ref="D12:D18" si="0">VLOOKUP(B12,$A$2:$B$7,2,FALSE)</f>
        <v>001</v>
      </c>
      <c r="F12" t="str">
        <f>RIGHT(F11,8)</f>
        <v>10001001</v>
      </c>
      <c r="G12" t="str">
        <f>RIGHT(G11,8)</f>
        <v>10110101</v>
      </c>
    </row>
    <row r="13" spans="1:12">
      <c r="B13">
        <v>297.5</v>
      </c>
      <c r="C13" t="s">
        <v>15</v>
      </c>
      <c r="D13" t="str">
        <f t="shared" si="0"/>
        <v>010</v>
      </c>
      <c r="F13" t="str">
        <f>BIN2HEX(F12,2)</f>
        <v>89</v>
      </c>
      <c r="G13" t="str">
        <f>BIN2HEX(G12,2)</f>
        <v>B5</v>
      </c>
    </row>
    <row r="14" spans="1:12">
      <c r="B14">
        <v>302.5</v>
      </c>
      <c r="C14" t="s">
        <v>16</v>
      </c>
      <c r="D14" t="str">
        <f t="shared" si="0"/>
        <v>011</v>
      </c>
      <c r="F14" t="str">
        <f>LEFT(F11,LEN(F11)-8)</f>
        <v>1000110</v>
      </c>
      <c r="G14" t="str">
        <f>LEFT(G11,LEN(G11)-8)</f>
        <v>1</v>
      </c>
    </row>
    <row r="15" spans="1:12">
      <c r="B15">
        <v>307.5</v>
      </c>
      <c r="C15" t="s">
        <v>17</v>
      </c>
      <c r="D15" t="str">
        <f t="shared" si="0"/>
        <v>100</v>
      </c>
      <c r="F15" t="str">
        <f>BIN2HEX(F14,2)</f>
        <v>46</v>
      </c>
      <c r="G15" t="str">
        <f>BIN2HEX(G14,2)</f>
        <v>01</v>
      </c>
    </row>
    <row r="16" spans="1:12">
      <c r="B16">
        <v>312.5</v>
      </c>
      <c r="C16" t="s">
        <v>19</v>
      </c>
      <c r="D16" t="str">
        <f t="shared" si="0"/>
        <v>101</v>
      </c>
    </row>
    <row r="17" spans="2:4">
      <c r="B17">
        <v>317.5</v>
      </c>
      <c r="C17" t="s">
        <v>20</v>
      </c>
      <c r="D17" t="str">
        <f t="shared" si="0"/>
        <v>110</v>
      </c>
    </row>
    <row r="18" spans="2:4">
      <c r="B18">
        <v>317.5</v>
      </c>
      <c r="C18" t="s">
        <v>18</v>
      </c>
      <c r="D18" t="str">
        <f t="shared" si="0"/>
        <v>110</v>
      </c>
    </row>
  </sheetData>
  <dataValidations count="1">
    <dataValidation type="list" allowBlank="1" showInputMessage="1" showErrorMessage="1" sqref="B11:B18">
      <formula1>$A$2:$A$7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SRCD1</dc:creator>
  <cp:lastModifiedBy>SRCD1</cp:lastModifiedBy>
  <dcterms:created xsi:type="dcterms:W3CDTF">2025-06-09T10:28:39Z</dcterms:created>
  <dcterms:modified xsi:type="dcterms:W3CDTF">2025-06-09T11:14:07Z</dcterms:modified>
</cp:coreProperties>
</file>