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1430" tabRatio="835" activeTab="10"/>
  </bookViews>
  <sheets>
    <sheet name="Channels" sheetId="1" r:id="rId1"/>
    <sheet name="Summary" sheetId="9" r:id="rId2"/>
    <sheet name="Ku x Ku" sheetId="2" r:id="rId3"/>
    <sheet name="C x C" sheetId="15" r:id="rId4"/>
    <sheet name="C x S" sheetId="14" r:id="rId5"/>
    <sheet name="S x C" sheetId="13" r:id="rId6"/>
    <sheet name="C x UHF DP" sheetId="6" r:id="rId7"/>
    <sheet name="C x UHF SAW" sheetId="11" r:id="rId8"/>
    <sheet name="UHF x C DP" sheetId="8" r:id="rId9"/>
    <sheet name="UHF x C SAW" sheetId="12" r:id="rId10"/>
    <sheet name="UHF x UHF" sheetId="10" r:id="rId11"/>
    <sheet name="BIU" sheetId="16" r:id="rId12"/>
    <sheet name="Beacon" sheetId="17" r:id="rId13"/>
    <sheet name="Ku x Ku ALC" sheetId="20" r:id="rId14"/>
    <sheet name="Summary - DP- no need to refer" sheetId="4" r:id="rId15"/>
    <sheet name="Subsystem T&amp;E- no need to refer" sheetId="5" r:id="rId16"/>
    <sheet name="DP SC TCTM" sheetId="19" r:id="rId17"/>
  </sheets>
  <definedNames>
    <definedName name="_xlnm._FilterDatabase" localSheetId="12" hidden="1">Beacon!$A$1:$L$2</definedName>
    <definedName name="_xlnm._FilterDatabase" localSheetId="11" hidden="1">BIU!$A$1:$T$2</definedName>
    <definedName name="_xlnm._FilterDatabase" localSheetId="3" hidden="1">'C x C'!$A$1:$R$9</definedName>
    <definedName name="_xlnm._FilterDatabase" localSheetId="4" hidden="1">'C x S'!$A$1:$W$1</definedName>
    <definedName name="_xlnm._FilterDatabase" localSheetId="6" hidden="1">'C x UHF DP'!$A$1:$AS$37</definedName>
    <definedName name="_xlnm._FilterDatabase" localSheetId="7" hidden="1">'C x UHF SAW'!$A$1:$AB$25</definedName>
    <definedName name="_xlnm._FilterDatabase" localSheetId="2" hidden="1">'Ku x Ku'!$A$1:$U$25</definedName>
    <definedName name="_xlnm._FilterDatabase" localSheetId="13" hidden="1">'Ku x Ku ALC'!$A$1:$U$9</definedName>
    <definedName name="_xlnm._FilterDatabase" localSheetId="5" hidden="1">'S x C'!$A$1:$Q$5</definedName>
    <definedName name="_xlnm._FilterDatabase" localSheetId="8" hidden="1">'UHF x C DP'!$A$1:$AU$68</definedName>
    <definedName name="_xlnm._FilterDatabase" localSheetId="9" hidden="1">'UHF x C SAW'!$A$1:$AM$7</definedName>
    <definedName name="_xlnm._FilterDatabase" localSheetId="10" hidden="1">'UHF x UHF'!$A$1:$AQ$9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3" i="16" l="1"/>
  <c r="U4" i="16"/>
  <c r="U5" i="16"/>
  <c r="U2" i="16"/>
  <c r="AR3" i="10" l="1"/>
  <c r="AR4" i="10"/>
  <c r="AR5" i="10"/>
  <c r="AR6" i="10"/>
  <c r="AR7" i="10"/>
  <c r="AR8" i="10"/>
  <c r="AR9" i="10"/>
  <c r="AR10" i="10"/>
  <c r="AR11" i="10"/>
  <c r="AR12" i="10"/>
  <c r="AR13" i="10"/>
  <c r="AR14" i="10"/>
  <c r="AR15" i="10"/>
  <c r="AR16" i="10"/>
  <c r="AR17" i="10"/>
  <c r="AR18" i="10"/>
  <c r="AR19" i="10"/>
  <c r="AR20" i="10"/>
  <c r="AR21" i="10"/>
  <c r="AR22" i="10"/>
  <c r="AR2" i="10"/>
  <c r="AV3" i="8"/>
  <c r="AV4" i="8"/>
  <c r="AV5" i="8"/>
  <c r="AV6" i="8"/>
  <c r="AV7" i="8"/>
  <c r="AV8" i="8"/>
  <c r="AV9" i="8"/>
  <c r="AV10" i="8"/>
  <c r="AV11" i="8"/>
  <c r="AV12" i="8"/>
  <c r="AV13" i="8"/>
  <c r="AV14" i="8"/>
  <c r="AV15" i="8"/>
  <c r="AV16" i="8"/>
  <c r="AV17" i="8"/>
  <c r="AV18" i="8"/>
  <c r="AV19" i="8"/>
  <c r="AV20" i="8"/>
  <c r="AV21" i="8"/>
  <c r="AV22" i="8"/>
  <c r="AV23" i="8"/>
  <c r="AV24" i="8"/>
  <c r="AV25" i="8"/>
  <c r="AV26" i="8"/>
  <c r="AV27" i="8"/>
  <c r="AV28" i="8"/>
  <c r="AV29" i="8"/>
  <c r="AV30" i="8"/>
  <c r="AV31" i="8"/>
  <c r="AV32" i="8"/>
  <c r="AV33" i="8"/>
  <c r="AV34" i="8"/>
  <c r="AV35" i="8"/>
  <c r="AV36" i="8"/>
  <c r="AV37" i="8"/>
  <c r="AV38" i="8"/>
  <c r="AV39" i="8"/>
  <c r="AV40" i="8"/>
  <c r="AV41" i="8"/>
  <c r="AV42" i="8"/>
  <c r="AV43" i="8"/>
  <c r="AV44" i="8"/>
  <c r="AV45" i="8"/>
  <c r="AV46" i="8"/>
  <c r="AV47" i="8"/>
  <c r="AV48" i="8"/>
  <c r="AV49" i="8"/>
  <c r="AV50" i="8"/>
  <c r="AV51" i="8"/>
  <c r="AV52" i="8"/>
  <c r="AV53" i="8"/>
  <c r="AV54" i="8"/>
  <c r="AV55" i="8"/>
  <c r="AV56" i="8"/>
  <c r="AV57" i="8"/>
  <c r="AV58" i="8"/>
  <c r="AV59" i="8"/>
  <c r="AV60" i="8"/>
  <c r="AV61" i="8"/>
  <c r="AV62" i="8"/>
  <c r="AV63" i="8"/>
  <c r="AV64" i="8"/>
  <c r="AV65" i="8"/>
  <c r="AV66" i="8"/>
  <c r="AV67" i="8"/>
  <c r="AV68" i="8"/>
  <c r="AV2" i="8"/>
  <c r="AS3" i="6" l="1"/>
  <c r="AS4" i="6"/>
  <c r="AS5" i="6"/>
  <c r="AS6" i="6"/>
  <c r="AS7" i="6"/>
  <c r="AS8" i="6"/>
  <c r="AS9" i="6"/>
  <c r="AS10" i="6"/>
  <c r="AS11" i="6"/>
  <c r="AS12" i="6"/>
  <c r="AS13" i="6"/>
  <c r="AS14" i="6"/>
  <c r="AS15" i="6"/>
  <c r="AS16" i="6"/>
  <c r="AS17" i="6"/>
  <c r="AS18" i="6"/>
  <c r="AS19" i="6"/>
  <c r="AS20" i="6"/>
  <c r="AS21" i="6"/>
  <c r="AS22" i="6"/>
  <c r="AS23" i="6"/>
  <c r="AS24" i="6"/>
  <c r="AS25" i="6"/>
  <c r="AS26" i="6"/>
  <c r="AS27" i="6"/>
  <c r="AS28" i="6"/>
  <c r="AS29" i="6"/>
  <c r="AS30" i="6"/>
  <c r="AS31" i="6"/>
  <c r="AS32" i="6"/>
  <c r="AS33" i="6"/>
  <c r="AS34" i="6"/>
  <c r="AS35" i="6"/>
  <c r="AS36" i="6"/>
  <c r="AS37" i="6"/>
  <c r="AS2" i="6"/>
  <c r="AH38" i="4" l="1"/>
  <c r="V21" i="4"/>
  <c r="V19" i="4"/>
  <c r="V17" i="4"/>
  <c r="AD10" i="4"/>
  <c r="Y10" i="4"/>
  <c r="V9" i="20"/>
  <c r="V8" i="20"/>
  <c r="V7" i="20"/>
  <c r="V6" i="20"/>
  <c r="V5" i="20"/>
  <c r="V4" i="20"/>
  <c r="V3" i="20"/>
  <c r="V2" i="20"/>
  <c r="AN25" i="12"/>
  <c r="AN24" i="12"/>
  <c r="AN23" i="12"/>
  <c r="AN22" i="12"/>
  <c r="AN21" i="12"/>
  <c r="AN20" i="12"/>
  <c r="AN19" i="12"/>
  <c r="AN18" i="12"/>
  <c r="AN17" i="12"/>
  <c r="AN16" i="12"/>
  <c r="AN15" i="12"/>
  <c r="AN14" i="12"/>
  <c r="AN13" i="12"/>
  <c r="AN12" i="12"/>
  <c r="AN11" i="12"/>
  <c r="AN10" i="12"/>
  <c r="AN9" i="12"/>
  <c r="AN8" i="12"/>
  <c r="AN7" i="12"/>
  <c r="AN6" i="12"/>
  <c r="AN5" i="12"/>
  <c r="AN4" i="12"/>
  <c r="AN3" i="12"/>
  <c r="AN2" i="12"/>
  <c r="D68" i="8"/>
  <c r="D66" i="8"/>
  <c r="D56" i="8"/>
  <c r="D51" i="8"/>
  <c r="AC25" i="11"/>
  <c r="AC24" i="11"/>
  <c r="AC23" i="11"/>
  <c r="AC22" i="11"/>
  <c r="AC21" i="11"/>
  <c r="AC20" i="11"/>
  <c r="AC19" i="11"/>
  <c r="AC18" i="11"/>
  <c r="AC17" i="11"/>
  <c r="AC16" i="11"/>
  <c r="AC15" i="11"/>
  <c r="AC14" i="11"/>
  <c r="AC13" i="11"/>
  <c r="AC12" i="11"/>
  <c r="AC11" i="11"/>
  <c r="AC10" i="11"/>
  <c r="AC9" i="11"/>
  <c r="AC8" i="11"/>
  <c r="AC7" i="11"/>
  <c r="AC6" i="11"/>
  <c r="AC5" i="11"/>
  <c r="AC4" i="11"/>
  <c r="AC3" i="11"/>
  <c r="AC2" i="11"/>
  <c r="R5" i="13"/>
  <c r="R4" i="13"/>
  <c r="R3" i="13"/>
  <c r="R2" i="13"/>
  <c r="Y10" i="14"/>
  <c r="Y9" i="14"/>
  <c r="Y8" i="14"/>
  <c r="Y7" i="14"/>
  <c r="Y6" i="14"/>
  <c r="Y5" i="14"/>
  <c r="Y4" i="14"/>
  <c r="Y3" i="14"/>
  <c r="Y2" i="14"/>
  <c r="R9" i="15"/>
  <c r="R8" i="15"/>
  <c r="R7" i="15"/>
  <c r="R6" i="15"/>
  <c r="R5" i="15"/>
  <c r="R4" i="15"/>
  <c r="R3" i="15"/>
  <c r="R2" i="15"/>
  <c r="V25" i="2"/>
  <c r="V24" i="2"/>
  <c r="V23" i="2"/>
  <c r="V22" i="2"/>
  <c r="V21" i="2"/>
  <c r="V20" i="2"/>
  <c r="V19" i="2"/>
  <c r="V18" i="2"/>
  <c r="V17" i="2"/>
  <c r="V16" i="2"/>
  <c r="V15" i="2"/>
  <c r="V14" i="2"/>
  <c r="V13" i="2"/>
  <c r="V12" i="2"/>
  <c r="V11" i="2"/>
  <c r="V10" i="2"/>
  <c r="V9" i="2"/>
  <c r="V8" i="2"/>
  <c r="V7" i="2"/>
  <c r="V6" i="2"/>
  <c r="V5" i="2"/>
  <c r="V4" i="2"/>
  <c r="V3" i="2"/>
  <c r="V2" i="2"/>
  <c r="AB86" i="9"/>
  <c r="R46" i="9"/>
  <c r="K45" i="9"/>
  <c r="Q39" i="9"/>
  <c r="Q38" i="9"/>
  <c r="Q36" i="9"/>
  <c r="R33" i="9"/>
  <c r="S20" i="9"/>
  <c r="M20" i="9"/>
  <c r="D13" i="9"/>
  <c r="T10" i="9"/>
  <c r="L10" i="9"/>
  <c r="N4" i="9"/>
</calcChain>
</file>

<file path=xl/comments1.xml><?xml version="1.0" encoding="utf-8"?>
<comments xmlns="http://schemas.openxmlformats.org/spreadsheetml/2006/main">
  <authors>
    <author>Author</author>
  </authors>
  <commentList>
    <comment ref="N8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To verify port 5 &amp;6 of digital processor</t>
        </r>
      </text>
    </comment>
    <comment ref="M8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Cannot be tested with rest of the sets</t>
        </r>
      </text>
    </comment>
    <comment ref="N8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only 311 - 315 band.
don’t test other frequencies of the set, since they are already tested in M1 &amp; M2 on set</t>
        </r>
      </text>
    </comment>
    <comment ref="V8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don’t configure for frequency band in range of 295 - 300</t>
        </r>
      </text>
    </comment>
    <comment ref="M12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Cannot be tested with rest of the sets</t>
        </r>
      </text>
    </comment>
    <comment ref="N12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only 311 - 315 band.
don’t test other frequencies of the set, since they are already tested in M1 &amp; M2 on set</t>
        </r>
      </text>
    </comment>
    <comment ref="V12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don’t configure for frequency band in range of 295 - 300</t>
        </r>
      </text>
    </comment>
  </commentList>
</comments>
</file>

<file path=xl/sharedStrings.xml><?xml version="1.0" encoding="utf-8"?>
<sst xmlns="http://schemas.openxmlformats.org/spreadsheetml/2006/main" count="8450" uniqueCount="617">
  <si>
    <t>Link</t>
  </si>
  <si>
    <t>UHF x C</t>
  </si>
  <si>
    <t>DP</t>
  </si>
  <si>
    <t>UHF x UHF</t>
  </si>
  <si>
    <t>Channel No</t>
  </si>
  <si>
    <t>No of Channels</t>
  </si>
  <si>
    <t>1-4</t>
  </si>
  <si>
    <t>Comment</t>
  </si>
  <si>
    <t>DP - Set 1</t>
  </si>
  <si>
    <t>DP - Set 2</t>
  </si>
  <si>
    <t>DP - Set 3</t>
  </si>
  <si>
    <t>DP - Set 4</t>
  </si>
  <si>
    <t>DP Mesh - Set 1</t>
  </si>
  <si>
    <t>DP Mesh - Set 2</t>
  </si>
  <si>
    <t>DP Mesh - Set 3</t>
  </si>
  <si>
    <t>C x C</t>
  </si>
  <si>
    <t>-</t>
  </si>
  <si>
    <t>Ku x Ku</t>
  </si>
  <si>
    <t>WB</t>
  </si>
  <si>
    <t>SB</t>
  </si>
  <si>
    <t>BIU</t>
  </si>
  <si>
    <t>Beacon</t>
  </si>
  <si>
    <t>GSAT-7R Channel Details</t>
  </si>
  <si>
    <t>Config</t>
  </si>
  <si>
    <t>LCTWTA</t>
  </si>
  <si>
    <t>RX Antenna</t>
  </si>
  <si>
    <t>WB-1</t>
  </si>
  <si>
    <t>WB-2</t>
  </si>
  <si>
    <t>SB-1</t>
  </si>
  <si>
    <t>SB-2</t>
  </si>
  <si>
    <t>1.5 m Deployable</t>
  </si>
  <si>
    <t>Channel</t>
  </si>
  <si>
    <t>0.6 m Steerable</t>
  </si>
  <si>
    <t>LCTWTA-1</t>
  </si>
  <si>
    <t>LCTWTA-2</t>
  </si>
  <si>
    <t>Uplink</t>
  </si>
  <si>
    <t>Downlink</t>
  </si>
  <si>
    <t>LCTWTA-3</t>
  </si>
  <si>
    <t>LCTWTA-4</t>
  </si>
  <si>
    <t>LCTWTA-5</t>
  </si>
  <si>
    <t>LCTWTA-6</t>
  </si>
  <si>
    <t>TX Antenna</t>
  </si>
  <si>
    <t>Ku RX IP SW</t>
  </si>
  <si>
    <t>Ku RX OP SW</t>
  </si>
  <si>
    <t>Ku RX IP SW POS</t>
  </si>
  <si>
    <t>Ku RX OP SW POS</t>
  </si>
  <si>
    <t>Ku Hybrid OP SW</t>
  </si>
  <si>
    <t>Ku Hybrid OP SW POS</t>
  </si>
  <si>
    <t>Ku TWTA IP SW</t>
  </si>
  <si>
    <t>Ku TWTA IP SW POS</t>
  </si>
  <si>
    <t>Ku TWTA OP SW</t>
  </si>
  <si>
    <t>Ku TWTA OP SW POS</t>
  </si>
  <si>
    <t>Ku TWTA IP SW-1, Ku TWTA IP SW-2, Ku TWTA IP SW-3</t>
  </si>
  <si>
    <t>Ku TWTA IP SW-2, Ku TWTA IP SW-3, Ku TWTA IP SW-4</t>
  </si>
  <si>
    <t>Ku TWTA IP SW-3, Ku TWTA IP SW-4, Ku TWTA IP SW-5</t>
  </si>
  <si>
    <t>Ku TWTA IP SW-4, Ku TWTA IP SW-5, Ku TWTA IP SW-6</t>
  </si>
  <si>
    <t>Ku TWTA IP SW-5, Ku TWTA IP SW-6</t>
  </si>
  <si>
    <t>Ku TWTA OP SW-1, Ku TWTA OP SW-2, Ku TWTA OP SW-3</t>
  </si>
  <si>
    <t>Ku TWTA OP SW-2, Ku TWTA OP SW-3, Ku TWTA OP SW-4</t>
  </si>
  <si>
    <t>Ku TWTA OP SW-3, Ku TWTA OP SW-4, Ku TWTA OP SW-5</t>
  </si>
  <si>
    <t>Ku TWTA OP SW-4, Ku TWTA OP SW-5, Ku TWTA OP SW-6</t>
  </si>
  <si>
    <t>Ku TWTA OP SW-5, Ku TWTA OP SW-6</t>
  </si>
  <si>
    <t>POS-3, POS-2, POS-2</t>
  </si>
  <si>
    <t>POS-2, POS-2, POS-2</t>
  </si>
  <si>
    <t>POS-2, POS-2, POS-1</t>
  </si>
  <si>
    <t xml:space="preserve"> POS-2, POS-1</t>
  </si>
  <si>
    <t>POS-1, POS-2</t>
  </si>
  <si>
    <t>POS-1, POS-2, POS-2</t>
  </si>
  <si>
    <t>POS-3, POS-2</t>
  </si>
  <si>
    <t>POS-2, POS-2, POS-3</t>
  </si>
  <si>
    <t>POS-2, POS-3</t>
  </si>
  <si>
    <t>Ku RX IP SW-1, Ku RX IP SW-2</t>
  </si>
  <si>
    <t>Ku RX OP SW-1, Ku RX OP SW-2</t>
  </si>
  <si>
    <t>Ku RX IP SW-2, Ku RX IP SW-3, Ku RX IP SW-4</t>
  </si>
  <si>
    <t>Ku RX OP SW-2, Ku RX OP SW-3, Ku RX OP SW-4</t>
  </si>
  <si>
    <t>Ku RX IP SW-3, Ku RX IP SW-4</t>
  </si>
  <si>
    <t xml:space="preserve">Ku RX IP SW-1, Ku RX IP SW-2, Ku RX IP SW-3, </t>
  </si>
  <si>
    <t>Ku RX OP SW-3, Ku RX OP SW-4</t>
  </si>
  <si>
    <t xml:space="preserve">Ku RX OP SW-1, Ku RX OP SW-2, Ku RX OP SW-3, </t>
  </si>
  <si>
    <t>POS-4, POS-4, POS-1</t>
  </si>
  <si>
    <t>POS-4, POS-1</t>
  </si>
  <si>
    <t>POS-3, POS-4</t>
  </si>
  <si>
    <t>POS-3, POS-4, POS-4</t>
  </si>
  <si>
    <t>POS-1</t>
  </si>
  <si>
    <t xml:space="preserve"> POS-1, POS-2</t>
  </si>
  <si>
    <t xml:space="preserve"> POS-1, POS-2, POS-2</t>
  </si>
  <si>
    <t>Ku HYBRID OP SW-1</t>
  </si>
  <si>
    <t>Ku HYBRID OP SW-2</t>
  </si>
  <si>
    <t>POS-2</t>
  </si>
  <si>
    <t>Uplink Beam</t>
  </si>
  <si>
    <t>Downlink Beam</t>
  </si>
  <si>
    <t>1.4 m Deployable</t>
  </si>
  <si>
    <t>C RX IP SW</t>
  </si>
  <si>
    <t>C RX IP SW POS</t>
  </si>
  <si>
    <t>C RX</t>
  </si>
  <si>
    <t>C RX OP SW</t>
  </si>
  <si>
    <t>C RX OP SW POS</t>
  </si>
  <si>
    <t>C RX-1</t>
  </si>
  <si>
    <t>C Hybrid OP SW</t>
  </si>
  <si>
    <t>C Hybrid OP SW POS</t>
  </si>
  <si>
    <t>C x UHF D/C</t>
  </si>
  <si>
    <t>C x UHF D/C IP SW</t>
  </si>
  <si>
    <t>C x UHF D/C OP TR SW</t>
  </si>
  <si>
    <t>C x UHF D/C IP SW POS</t>
  </si>
  <si>
    <t>C x UHF D/C OP TR SW POS</t>
  </si>
  <si>
    <t>FLP IP SW</t>
  </si>
  <si>
    <t>FLP IP SW POS</t>
  </si>
  <si>
    <t>f1</t>
  </si>
  <si>
    <t>f2</t>
  </si>
  <si>
    <t>f3</t>
  </si>
  <si>
    <t>f4</t>
  </si>
  <si>
    <t>1,2 fails</t>
  </si>
  <si>
    <t>3,4 fails</t>
  </si>
  <si>
    <t>R1,R2 fails</t>
  </si>
  <si>
    <t>R1</t>
  </si>
  <si>
    <t>R2</t>
  </si>
  <si>
    <t>Ch EPC</t>
  </si>
  <si>
    <t>Sy EPC</t>
  </si>
  <si>
    <t>Router</t>
  </si>
  <si>
    <t>CDU</t>
  </si>
  <si>
    <t>M</t>
  </si>
  <si>
    <t>R</t>
  </si>
  <si>
    <t>All M</t>
  </si>
  <si>
    <t>All R</t>
  </si>
  <si>
    <t>Ch card</t>
  </si>
  <si>
    <t>UHF SSPA</t>
  </si>
  <si>
    <t>SET 2</t>
  </si>
  <si>
    <t>SET 1</t>
  </si>
  <si>
    <t>SET 3</t>
  </si>
  <si>
    <t>SET 4</t>
  </si>
  <si>
    <t>IP port 1</t>
  </si>
  <si>
    <t>IP port 2</t>
  </si>
  <si>
    <t>IP port 3</t>
  </si>
  <si>
    <t>IP port 4</t>
  </si>
  <si>
    <t>IP port 5</t>
  </si>
  <si>
    <t>IP port 6</t>
  </si>
  <si>
    <t>M1,M2</t>
  </si>
  <si>
    <t>M2</t>
  </si>
  <si>
    <t>M1,M2,R1</t>
  </si>
  <si>
    <t>Sy Card</t>
  </si>
  <si>
    <t>UHF LNA</t>
  </si>
  <si>
    <t>UHF x C U/C</t>
  </si>
  <si>
    <t>C SSPA</t>
  </si>
  <si>
    <t>5,6 fails</t>
  </si>
  <si>
    <t>DA OP SW-1</t>
  </si>
  <si>
    <t>DA OP SW-2</t>
  </si>
  <si>
    <t>DA OP SW-3</t>
  </si>
  <si>
    <t>DA OP SW-4</t>
  </si>
  <si>
    <t>DA OP SW-5</t>
  </si>
  <si>
    <t>DA OP SW-6</t>
  </si>
  <si>
    <t>DA OP SW-10</t>
  </si>
  <si>
    <t>DA OP SW-9</t>
  </si>
  <si>
    <t>DA</t>
  </si>
  <si>
    <t>UP</t>
  </si>
  <si>
    <t>DN</t>
  </si>
  <si>
    <t>Ports repeated</t>
  </si>
  <si>
    <t>M2,R1,R2</t>
  </si>
  <si>
    <t>M1,M2,R2</t>
  </si>
  <si>
    <t>Channelizer ports &amp; cards failure</t>
  </si>
  <si>
    <t>Frequency</t>
  </si>
  <si>
    <t>Port to be tested</t>
  </si>
  <si>
    <t>SET 1 &amp; SET 4 cover all ports except port no 6</t>
  </si>
  <si>
    <t>Therefore for redundant configurations, only these set</t>
  </si>
  <si>
    <t>290-295</t>
  </si>
  <si>
    <t>295-300</t>
  </si>
  <si>
    <t>301-305</t>
  </si>
  <si>
    <t>306-310</t>
  </si>
  <si>
    <t>311-315</t>
  </si>
  <si>
    <t>316-320</t>
  </si>
  <si>
    <t>All Main</t>
  </si>
  <si>
    <t>Channelizer Card Failure</t>
  </si>
  <si>
    <t>Only DA up/down switching</t>
  </si>
  <si>
    <t>Sy card</t>
  </si>
  <si>
    <t>Port fails</t>
  </si>
  <si>
    <t>OP SW-1</t>
  </si>
  <si>
    <t>OP SW-2</t>
  </si>
  <si>
    <t>OP SW-3</t>
  </si>
  <si>
    <t>OP SW-4</t>
  </si>
  <si>
    <t>IP SW</t>
  </si>
  <si>
    <t>SA</t>
  </si>
  <si>
    <t>DA up down with All others Redt</t>
  </si>
  <si>
    <t>Its own DA, but going 1 up or 1 down after DA</t>
  </si>
  <si>
    <t>EPC for channelizer &amp; synthesizer Redt</t>
  </si>
  <si>
    <t>FL Port R1</t>
  </si>
  <si>
    <t>FL Port 3</t>
  </si>
  <si>
    <t>Additional Configurations for Forward Link</t>
  </si>
  <si>
    <t>Additional Configurations for Return Link</t>
  </si>
  <si>
    <t>Additional Configurations for Mesh Link</t>
  </si>
  <si>
    <t xml:space="preserve">Mesh Link </t>
  </si>
  <si>
    <t>Each port to be tested at five frequencies in table -&gt;</t>
  </si>
  <si>
    <t>CF to be taken from the frequency band as mentioned in 1st column</t>
  </si>
  <si>
    <t>3 sets</t>
  </si>
  <si>
    <t>one per set</t>
  </si>
  <si>
    <t>with router redt other all main</t>
  </si>
  <si>
    <t>add one for port 6 main</t>
  </si>
  <si>
    <t>C RX IP SW-1, C RX IP SW-2</t>
  </si>
  <si>
    <t>C RX OP SW-1, C RX OP SW-2</t>
  </si>
  <si>
    <t>EPC for Channelizer</t>
  </si>
  <si>
    <t>EPC for Synthesizer</t>
  </si>
  <si>
    <t>FLP OP SW</t>
  </si>
  <si>
    <t>FLP OP SW POS</t>
  </si>
  <si>
    <t>FLP + 4 CH FILTER OP SW</t>
  </si>
  <si>
    <t>FLP + 4 CH FILTER OP SW POS</t>
  </si>
  <si>
    <t>UHF SSPA IP SW</t>
  </si>
  <si>
    <t>UHF SSPA IP SW POS</t>
  </si>
  <si>
    <t>UHF 100 W SSPA</t>
  </si>
  <si>
    <t>UHF SSPA OP SW</t>
  </si>
  <si>
    <t>UHF SSPA OP SW POS</t>
  </si>
  <si>
    <t>UHF TX Deployable Antenna</t>
  </si>
  <si>
    <t>M1</t>
  </si>
  <si>
    <t>FLP OP SW-1, FLP OP SW-2</t>
  </si>
  <si>
    <t>POS-1,POS-2</t>
  </si>
  <si>
    <t>FLP + 4 CH FILTER OP SW-1</t>
  </si>
  <si>
    <t>FLP + 4 CH FILTER OP SW-2</t>
  </si>
  <si>
    <t>FLP + 4 CH FILTER OP SW-3</t>
  </si>
  <si>
    <t>FLP + 4 CH FILTER OP SW-4</t>
  </si>
  <si>
    <t xml:space="preserve">FLP OP SW-1, FLP OP SW-2, FLP OP SW-3 </t>
  </si>
  <si>
    <t xml:space="preserve">FLP OP SW-2, FLP OP SW-3, FLP OP SW-4 </t>
  </si>
  <si>
    <t>FLP OP SW-3, FLP OP SW-4</t>
  </si>
  <si>
    <t>POS-1,POS-2, POS-2</t>
  </si>
  <si>
    <t>POS-2,POS-2, POS-3</t>
  </si>
  <si>
    <t>Fwd Link Channelizer Card Set</t>
  </si>
  <si>
    <t>Fwd Link Channelizer Card Off</t>
  </si>
  <si>
    <t>Fwd Link Synthesizer Card Set</t>
  </si>
  <si>
    <t>Fwd Link Synthesizer Card Off</t>
  </si>
  <si>
    <t>Fwd Link OP Port</t>
  </si>
  <si>
    <t>Fwd Link IP Port</t>
  </si>
  <si>
    <t>POS-2, POS-3, POS-3</t>
  </si>
  <si>
    <t>POS-3, POS-3</t>
  </si>
  <si>
    <t>POS-3, POS-3, POS-3</t>
  </si>
  <si>
    <t>M1,R1</t>
  </si>
  <si>
    <t>Fwd Link Synthesizer Card On</t>
  </si>
  <si>
    <t>POS-1, POS-1</t>
  </si>
  <si>
    <t>POS-1, POS-1, POS-1</t>
  </si>
  <si>
    <t>POS-1, POS-1, POS-2</t>
  </si>
  <si>
    <t>Fwd Link Channelizer Card On</t>
  </si>
  <si>
    <t>C x UHF D/C-1</t>
  </si>
  <si>
    <t>C x UHF D/C-R1</t>
  </si>
  <si>
    <t>UHF 100 W SSPA-1</t>
  </si>
  <si>
    <t>UHF 100 W SSPA-2</t>
  </si>
  <si>
    <t>UHF 100 W SSPA-4</t>
  </si>
  <si>
    <t>UHF 100 W SSPA-3</t>
  </si>
  <si>
    <t>UHF SSPA IP SW-1, UHF SSPA IP SW-2</t>
  </si>
  <si>
    <t>UHF SSPA IP SW-1, UHF SSPA IP SW-2, UHF SSPA IP SW-3</t>
  </si>
  <si>
    <t>UHF SSPA IP SW-2, UHF SSPA IP SW-3, UHF SSPA IP SW-4</t>
  </si>
  <si>
    <t>UHF SSPA IP SW-3, UHF SSPA IP SW-4</t>
  </si>
  <si>
    <t>UHF SSPA OP SW-1, UHF SSPA OP SW-2</t>
  </si>
  <si>
    <t>UHF SSPA OP SW-1, UHF SSPA OP SW-2, UHF SSPA OP SW-3</t>
  </si>
  <si>
    <t>UHF SSPA OP SW-2, UHF SSPA OP SW-3, UHF SSPA OP SW-4</t>
  </si>
  <si>
    <t>UHF SSPA OP SW-3, UHF SSPA OP SW-4</t>
  </si>
  <si>
    <t>POS-3, POS-3, POS-2</t>
  </si>
  <si>
    <t>POS-2, POS-2</t>
  </si>
  <si>
    <t>UHF 100 W SSPA-R1</t>
  </si>
  <si>
    <t>UHF RX Helical Antenna</t>
  </si>
  <si>
    <t>UHF LNA IP SW</t>
  </si>
  <si>
    <t>UHF LNA IP SW POS</t>
  </si>
  <si>
    <t>UHF LNA OP SW</t>
  </si>
  <si>
    <t>UHF LNA OP SW POS</t>
  </si>
  <si>
    <t>UHF PSF OP SW</t>
  </si>
  <si>
    <t>UHF PSF OP SW POS</t>
  </si>
  <si>
    <t>UHF DA IP SW</t>
  </si>
  <si>
    <t>UHF DA IP SW POS</t>
  </si>
  <si>
    <t>UHF DA</t>
  </si>
  <si>
    <t>UHF DA OP SW</t>
  </si>
  <si>
    <t>UHF DA OP SW POS</t>
  </si>
  <si>
    <t>Ret Link IP Port</t>
  </si>
  <si>
    <t>Ret Link Channelizer Card On</t>
  </si>
  <si>
    <t>Ret Link Channelizer Card Set</t>
  </si>
  <si>
    <t>Ret Link Synthesizer Card On</t>
  </si>
  <si>
    <t>Ret Link Synthesizer Card Set</t>
  </si>
  <si>
    <t>Ret Link Synthesizer Card Off</t>
  </si>
  <si>
    <t>TEST SET</t>
  </si>
  <si>
    <t>FREQUENCY SET</t>
  </si>
  <si>
    <t>C HYBRID OP SW-1</t>
  </si>
  <si>
    <t>C RX-R1</t>
  </si>
  <si>
    <t>C RX-R2</t>
  </si>
  <si>
    <t>C RX-2</t>
  </si>
  <si>
    <t>POS-1, POS-3</t>
  </si>
  <si>
    <t>POS-3, POS-1</t>
  </si>
  <si>
    <t>POS-2, POS-1</t>
  </si>
  <si>
    <t>GSAT-7R Return Link Channelization Plan</t>
  </si>
  <si>
    <t>296-300</t>
  </si>
  <si>
    <t>no of channelizer cards used</t>
  </si>
  <si>
    <t>25 kHz</t>
  </si>
  <si>
    <t>5 x 5 kHz</t>
  </si>
  <si>
    <t>Mesh Link</t>
  </si>
  <si>
    <t>UHF x C U/C IP TR SW</t>
  </si>
  <si>
    <t>UHF x C U/C IP TR SW POS</t>
  </si>
  <si>
    <t>UHF x C U/C OP SW</t>
  </si>
  <si>
    <t>UHF x C U/C OP SW POS</t>
  </si>
  <si>
    <t>UHF x C SSPA IP SW</t>
  </si>
  <si>
    <t>UHF x C SSPA IP SW POS</t>
  </si>
  <si>
    <t>UHF x C C SSPA</t>
  </si>
  <si>
    <t>UHF x C SSPA OP SW</t>
  </si>
  <si>
    <t>UHF x C SSPA OP SW POS</t>
  </si>
  <si>
    <t>UHF LNA-1</t>
  </si>
  <si>
    <t>UHF DA-1</t>
  </si>
  <si>
    <t>UHF DA-2</t>
  </si>
  <si>
    <t>UHF DA-3</t>
  </si>
  <si>
    <t>UHF DA-4</t>
  </si>
  <si>
    <t>UHF DA-6</t>
  </si>
  <si>
    <t>UHF DA-5</t>
  </si>
  <si>
    <t>UHF DA IP SW-1, UHF DA IP SW-2</t>
  </si>
  <si>
    <t>UHF DA IP SW-1, UHF DA IP SW-2, UHF DA IP SW-3</t>
  </si>
  <si>
    <t>UHF DA IP SW-3, UHF DA IP SW-4, UHF DA IP SW-5</t>
  </si>
  <si>
    <t>UHF DA IP SW-2, UHF DA IP SW-3, UHF DA IP SW-4</t>
  </si>
  <si>
    <t>UHF DA IP SW-5, UHF DA IP SW-6</t>
  </si>
  <si>
    <t>UHF DA OP SW-1, UHF DA OP SW-2, UHF DA OP SW-3</t>
  </si>
  <si>
    <t>UHF DA OP SW-3, UHF DA OP SW-4, UHF DA OP SW-5</t>
  </si>
  <si>
    <t>UHF DA OP SW-2, UHF DA OP SW-3, UHF DA OP SW-4</t>
  </si>
  <si>
    <t>UHF DA OP SW-5, UHF DA OP SW-6</t>
  </si>
  <si>
    <t>UHF DA OP SW-9, UHF DA OP SW-1, UHF DA OP SW-2</t>
  </si>
  <si>
    <t>RLP OP SW</t>
  </si>
  <si>
    <t>RLP OP SW POS</t>
  </si>
  <si>
    <t>UHF x C U/C - 1</t>
  </si>
  <si>
    <t>UHF x C C SSPA - 1</t>
  </si>
  <si>
    <t>M1, M2</t>
  </si>
  <si>
    <t>R1,R2</t>
  </si>
  <si>
    <t>Ret Link Channelizer Card Off</t>
  </si>
  <si>
    <t>R1, R2</t>
  </si>
  <si>
    <t>POS-3, POS-3, POS-1</t>
  </si>
  <si>
    <t>POS-3, POS-1, POS-1</t>
  </si>
  <si>
    <t>3,4 fails, R1,R2 fails</t>
  </si>
  <si>
    <t>M1, R1</t>
  </si>
  <si>
    <t>M2, R2</t>
  </si>
  <si>
    <t>2 as 1</t>
  </si>
  <si>
    <t>4 as 3</t>
  </si>
  <si>
    <t>3 as 4</t>
  </si>
  <si>
    <t>untested</t>
  </si>
  <si>
    <t>vyas sir</t>
  </si>
  <si>
    <t>COMMENT</t>
  </si>
  <si>
    <t>ALL MAIN</t>
  </si>
  <si>
    <t>CHANNELIZER CARD FAILURE</t>
  </si>
  <si>
    <t>UHF LNA-R1</t>
  </si>
  <si>
    <t>UHF DA-R1</t>
  </si>
  <si>
    <t>UHF x C U/C - R1</t>
  </si>
  <si>
    <t>UHF x C C SSPA - R1</t>
  </si>
  <si>
    <t>ALL REDT, DA UP</t>
  </si>
  <si>
    <t>S x C</t>
  </si>
  <si>
    <t>C x S</t>
  </si>
  <si>
    <t>C x UHF (DP)</t>
  </si>
  <si>
    <t>UHF x C (DP)</t>
  </si>
  <si>
    <t>C x UHF (SAW)</t>
  </si>
  <si>
    <t>UHF x C (SAW)</t>
  </si>
  <si>
    <t>M2,R</t>
  </si>
  <si>
    <t>M1,R</t>
  </si>
  <si>
    <t>FWD: ports R1&amp;3 as port 2</t>
  </si>
  <si>
    <t>RET: R1 as 1, 2 as 3</t>
  </si>
  <si>
    <t>RET: 2 as 1, 4 as 3</t>
  </si>
  <si>
    <t>shivam</t>
  </si>
  <si>
    <t>No of Test Configs</t>
  </si>
  <si>
    <t>C x UHF DP Test Configs</t>
  </si>
  <si>
    <t>C x UHF SAW Test Configs</t>
  </si>
  <si>
    <t>Beam</t>
  </si>
  <si>
    <t>RX</t>
  </si>
  <si>
    <t>U/C</t>
  </si>
  <si>
    <t>D/C</t>
  </si>
  <si>
    <t>SSPA</t>
  </si>
  <si>
    <t>MMRR</t>
  </si>
  <si>
    <t>4 CH SAW FILTER FORWARD LINK PROCESSOR</t>
  </si>
  <si>
    <t>UHF DA BEFORE RET SAW PROCESSOR</t>
  </si>
  <si>
    <t>UHF DA BEFORE RET SAW PROCESSOR IP SW</t>
  </si>
  <si>
    <t>UHF DA BEFORE RET SAW PROCESSOR IP SW POS</t>
  </si>
  <si>
    <t>UHF DA BEFORE RET SAW PROCESSOR OP SW</t>
  </si>
  <si>
    <t>UHF DA BEFORE RET SAW PROCESSOR OP SW POS</t>
  </si>
  <si>
    <t>UHF DA AFTER RET SAW PROCESSOR IP SW</t>
  </si>
  <si>
    <t>UHF DA AFTER RET SAW PROCESSOR IP SW POS</t>
  </si>
  <si>
    <t>UHF DA AFTER RET SAW PROCESSOR</t>
  </si>
  <si>
    <t>UHF DA AFTER RET SAW PROCESSOR OP SW</t>
  </si>
  <si>
    <t>UHF DA AFTER RET SAW PROCESSOR OP SW POS</t>
  </si>
  <si>
    <t>UHF 4 CH SAW FILTER BANK</t>
  </si>
  <si>
    <t>UHF SAW FILTER IP SW POS</t>
  </si>
  <si>
    <t>UHF SAW FILTER OP SW POS</t>
  </si>
  <si>
    <t>UHF SAW FILTER IP SW</t>
  </si>
  <si>
    <t>UHF SAW FILTER OP SW</t>
  </si>
  <si>
    <t>UHF DA IP SW-7</t>
  </si>
  <si>
    <t>UHF DA-7</t>
  </si>
  <si>
    <t>UHF DA-8</t>
  </si>
  <si>
    <t>UHF DA OP SW-7</t>
  </si>
  <si>
    <t>UHF 4 CH SAW FILTER BANK-1</t>
  </si>
  <si>
    <t>POS-3</t>
  </si>
  <si>
    <t>UHF DA IP SW-8</t>
  </si>
  <si>
    <t>UHF DA OP SW-8</t>
  </si>
  <si>
    <t>UHF 4 CH SAW FILTER BANK-2</t>
  </si>
  <si>
    <t>UHF 4 CH SAW FILTER BANK-3</t>
  </si>
  <si>
    <t>FLT BANK</t>
  </si>
  <si>
    <t>DA-7</t>
  </si>
  <si>
    <t>DA-8</t>
  </si>
  <si>
    <t>UHF DA-R3</t>
  </si>
  <si>
    <t>UHF DA-R4</t>
  </si>
  <si>
    <t>SAW</t>
  </si>
  <si>
    <t>Channelizer</t>
  </si>
  <si>
    <t>Synthesizer</t>
  </si>
  <si>
    <t>0.9 m S-band Reflector</t>
  </si>
  <si>
    <t>S x C U/C IP SW</t>
  </si>
  <si>
    <t>S x C U/C IP SW POS</t>
  </si>
  <si>
    <t>S x C U/C</t>
  </si>
  <si>
    <t>S x C U/C OP SW</t>
  </si>
  <si>
    <t>S x C U/C OP SW POS</t>
  </si>
  <si>
    <t>S x C SSPA IP SW</t>
  </si>
  <si>
    <t>S x C SSPA IP SW POS</t>
  </si>
  <si>
    <t>S x C SSPA</t>
  </si>
  <si>
    <t>S x C SSPA OP SW</t>
  </si>
  <si>
    <t>S x C SSPA OP SW POS</t>
  </si>
  <si>
    <t>S x C U/C-1</t>
  </si>
  <si>
    <t>S x C U/C-R1</t>
  </si>
  <si>
    <t>S x C SSPA-1</t>
  </si>
  <si>
    <t>S x C SSPA-R1</t>
  </si>
  <si>
    <t>SSPA/TWTA</t>
  </si>
  <si>
    <t>IOT</t>
  </si>
  <si>
    <t>C HYBRID OP SW-2</t>
  </si>
  <si>
    <t>C x S D/C IP SW</t>
  </si>
  <si>
    <t>C x S D/C IP SW POS</t>
  </si>
  <si>
    <t>C x S D/C</t>
  </si>
  <si>
    <t>C x S D/C OP SW</t>
  </si>
  <si>
    <t>C x S D/C OP SW POS</t>
  </si>
  <si>
    <t>S HPA IP SW</t>
  </si>
  <si>
    <t>S HPA IP SW POS</t>
  </si>
  <si>
    <t>S HPA OP SW</t>
  </si>
  <si>
    <t>S HPA OP SW POS</t>
  </si>
  <si>
    <t>S HPA</t>
  </si>
  <si>
    <t>C x S D/C-1</t>
  </si>
  <si>
    <t>S 200 W SSPA-1</t>
  </si>
  <si>
    <t>S 200 W TWTA-R1</t>
  </si>
  <si>
    <t>S 200 W TWTA-R2</t>
  </si>
  <si>
    <t>C x S D/C-R1</t>
  </si>
  <si>
    <t>C DA IP SW</t>
  </si>
  <si>
    <t>C DA IP SW POS</t>
  </si>
  <si>
    <t>C TWTA</t>
  </si>
  <si>
    <t>C TWTA OP SW</t>
  </si>
  <si>
    <t>C TWTA OP SW POS</t>
  </si>
  <si>
    <t>C TWTA-1</t>
  </si>
  <si>
    <t>C TWTA-R1</t>
  </si>
  <si>
    <t>C TWTA-2</t>
  </si>
  <si>
    <t>C DA IP SW-1</t>
  </si>
  <si>
    <t>C DA IP SW-1, C DA IP SW-2</t>
  </si>
  <si>
    <t>C DA OP SW-1</t>
  </si>
  <si>
    <t>C DA OP SW-1, C DA OP SW-2</t>
  </si>
  <si>
    <t>POS-4</t>
  </si>
  <si>
    <t>TWT</t>
  </si>
  <si>
    <t>All Up</t>
  </si>
  <si>
    <t>All Down</t>
  </si>
  <si>
    <t>POS-1, POS-1, POS-3</t>
  </si>
  <si>
    <t>POS-4, POS-4</t>
  </si>
  <si>
    <t>Ku TWTA IP SW-7, Ku TWTA IP SW-1, Ku TWTA IP SW-2</t>
  </si>
  <si>
    <t>Ku TWTA OP SW-7, Ku TWTA OP SW-1, Ku TWTA OP SW-2</t>
  </si>
  <si>
    <t>LCTWTA-R1</t>
  </si>
  <si>
    <t xml:space="preserve"> POS-3, POS-3</t>
  </si>
  <si>
    <t>POS-1, POS-3, POS-3</t>
  </si>
  <si>
    <t>LCTWTA-R2</t>
  </si>
  <si>
    <t xml:space="preserve"> POS-2, POS-2</t>
  </si>
  <si>
    <t xml:space="preserve"> POS-1, POS-1, POS-1</t>
  </si>
  <si>
    <t xml:space="preserve"> POS-3, POS-3, POS-3</t>
  </si>
  <si>
    <t>Uplink Pol</t>
  </si>
  <si>
    <t>Downlink Pol</t>
  </si>
  <si>
    <t>LHCP</t>
  </si>
  <si>
    <t>RHCP</t>
  </si>
  <si>
    <t>Horn Antenna</t>
  </si>
  <si>
    <t>BIU Receiver</t>
  </si>
  <si>
    <t>BIU Down Converter</t>
  </si>
  <si>
    <t>Ku TWTA IP SW-7, Ku TWTA IP SW-1</t>
  </si>
  <si>
    <t>Ku TWTA OP SW-7, Ku TWTA OP SW-1</t>
  </si>
  <si>
    <t>BIU OP SW</t>
  </si>
  <si>
    <t>BIU OP SW POS</t>
  </si>
  <si>
    <t>BCN OP SW</t>
  </si>
  <si>
    <t>Redt</t>
  </si>
  <si>
    <t>Main</t>
  </si>
  <si>
    <t>BCN SSPA-1</t>
  </si>
  <si>
    <t>BCN SSPA</t>
  </si>
  <si>
    <t>BCN SSPA-R1</t>
  </si>
  <si>
    <t>3 frequency plans</t>
  </si>
  <si>
    <t>UHF x UHF (Mesh Link)</t>
  </si>
  <si>
    <t>Beacon M</t>
  </si>
  <si>
    <t>Beacon R</t>
  </si>
  <si>
    <t>as TWTA-1</t>
  </si>
  <si>
    <t>as TWTA-R1</t>
  </si>
  <si>
    <t>Turn-on sequence</t>
  </si>
  <si>
    <t>Turn-off sequence</t>
  </si>
  <si>
    <t>new channels added on 08-05-25</t>
  </si>
  <si>
    <t>DIGITAL PROCESSOR SYNTHESIZER  ON through EPC-R (L</t>
  </si>
  <si>
    <t>DIGITAL PROCESSOR SYNTHESIZER  OFF through EPC-R (</t>
  </si>
  <si>
    <t>DIGITAL PROCESSOR ROUTER  ON through EPC-R</t>
  </si>
  <si>
    <t>DIGITAL PROCESSOR ROUTER  OFF through EPC-R (L1)</t>
  </si>
  <si>
    <t>DIGITAL PROCESSOR CLOCK CARD  ON through EPC-R (L1</t>
  </si>
  <si>
    <t>DIGITAL PROCESSOR CLOCK CARD  OFF through EPC-R</t>
  </si>
  <si>
    <t>DIGITAL PROCESSOR CHANNELIZER  OFF through EPC-M (</t>
  </si>
  <si>
    <t>DIGITAL PROCESSOR SYNTHESIZER  ON through EPC-M</t>
  </si>
  <si>
    <t>DIGITAL PROCESSOR SYNTHESIZER  OFF through EPC-M</t>
  </si>
  <si>
    <t>DIGITAL PROCESSOR ROUTER  ON through EPC-M</t>
  </si>
  <si>
    <t>DIGITAL PROCESSOR ROUTER  OFF through EPC-M (L1)</t>
  </si>
  <si>
    <t>DIGITAL PROCESSOR CLOCK CARD  ON through EPC-M (L1</t>
  </si>
  <si>
    <t>DIGITAL PROCESSOR CLOCK CARD  OFF through EPC-M (L</t>
  </si>
  <si>
    <t>DIGITAL PROCESSOR CHANNELIZER  ON through EPC-R (L</t>
  </si>
  <si>
    <t>DIGITAL PROCESSOR CHANNELIZER  OFF through EPC-R (</t>
  </si>
  <si>
    <t>DIGITAL PROCESSOR CHANNELIZER  ON through EPC-M (L</t>
  </si>
  <si>
    <t>5-8</t>
  </si>
  <si>
    <t>9-20</t>
  </si>
  <si>
    <t>21-32</t>
  </si>
  <si>
    <t>33-44</t>
  </si>
  <si>
    <t>45-56</t>
  </si>
  <si>
    <t>57-61</t>
  </si>
  <si>
    <t>62-66</t>
  </si>
  <si>
    <t>67-71</t>
  </si>
  <si>
    <t>72-75</t>
  </si>
  <si>
    <t>76-79</t>
  </si>
  <si>
    <t>94</t>
  </si>
  <si>
    <t>new channels added on 13-05-25</t>
  </si>
  <si>
    <t>C WB1 x UHF</t>
  </si>
  <si>
    <t>C WB2 x UHF</t>
  </si>
  <si>
    <t>80-83</t>
  </si>
  <si>
    <t xml:space="preserve">C WB1 x S </t>
  </si>
  <si>
    <t xml:space="preserve">C WB2 x S </t>
  </si>
  <si>
    <t>95-96</t>
  </si>
  <si>
    <t>SAW - Set 1</t>
  </si>
  <si>
    <t>SAW - Set 2</t>
  </si>
  <si>
    <t>SAW - Set 3</t>
  </si>
  <si>
    <t>92</t>
  </si>
  <si>
    <t>93</t>
  </si>
  <si>
    <t>84-87</t>
  </si>
  <si>
    <t>88-91</t>
  </si>
  <si>
    <t>97-102</t>
  </si>
  <si>
    <t>103-104</t>
  </si>
  <si>
    <t>105-106</t>
  </si>
  <si>
    <t>107</t>
  </si>
  <si>
    <t>Configuration Details</t>
  </si>
  <si>
    <t>Ku Ku RX</t>
  </si>
  <si>
    <t>Ku RX-3</t>
  </si>
  <si>
    <t>Ku RX-4</t>
  </si>
  <si>
    <t>Ku RX-1</t>
  </si>
  <si>
    <t>Ku RX-2</t>
  </si>
  <si>
    <t>Ku RX-R1</t>
  </si>
  <si>
    <t>Ku RX-R2</t>
  </si>
  <si>
    <t>DA IP SW</t>
  </si>
  <si>
    <t>DA OP SW</t>
  </si>
  <si>
    <t>Channelizer card fails</t>
  </si>
  <si>
    <t>DA main or redt</t>
  </si>
  <si>
    <t>M2 &amp; R2 fails and DA redt</t>
  </si>
  <si>
    <t>SET 5</t>
  </si>
  <si>
    <t>R1 &amp; R2 fails, DA down</t>
  </si>
  <si>
    <t>new channel added on 17-05-25</t>
  </si>
  <si>
    <t>R1 &amp; R2 fails, DA up</t>
  </si>
  <si>
    <t>Extreme end</t>
  </si>
  <si>
    <t>Set 1</t>
  </si>
  <si>
    <t>Set 5</t>
  </si>
  <si>
    <t>Set 4</t>
  </si>
  <si>
    <t>Pos-2</t>
  </si>
  <si>
    <t>Pos-1</t>
  </si>
  <si>
    <t>M1 &amp; M2 ON</t>
  </si>
  <si>
    <t>R1 ON</t>
  </si>
  <si>
    <t>M1 &amp; R1 ON</t>
  </si>
  <si>
    <t>M2 &amp; R2 fails and DA down</t>
  </si>
  <si>
    <t>R2 ON</t>
  </si>
  <si>
    <t>M2 &amp; R1 ON</t>
  </si>
  <si>
    <t>for DP port 6</t>
  </si>
  <si>
    <t>Ku x Ku - Main 97 to 104 &amp; Redt 108 to 123</t>
  </si>
  <si>
    <t>C x C - Main 95 to 96 &amp; Redt 124 to 126, 127 to 129</t>
  </si>
  <si>
    <t>Port 5 &amp; 6 test in main port, ALSO M1,M2,R2 Fails</t>
  </si>
  <si>
    <t>M1 &amp; R1 fails and DA main/redt (Unconventional switching)</t>
  </si>
  <si>
    <t>DA redt - down</t>
  </si>
  <si>
    <t>DA 1 as 297</t>
  </si>
  <si>
    <t>DA 2 as 302</t>
  </si>
  <si>
    <t>DA 6 as 312</t>
  </si>
  <si>
    <t>DA 1 as 292</t>
  </si>
  <si>
    <t>DA 2 as 292</t>
  </si>
  <si>
    <t>DA 2 as 297</t>
  </si>
  <si>
    <t>DA 4 as 307</t>
  </si>
  <si>
    <t>DA 5 as 307</t>
  </si>
  <si>
    <t>DA 3 as 302</t>
  </si>
  <si>
    <t>DA 5 as 312</t>
  </si>
  <si>
    <t>DA 6 as 317</t>
  </si>
  <si>
    <t>DA R2 as 317</t>
  </si>
  <si>
    <t>genuine up dn</t>
  </si>
  <si>
    <t>unconventional</t>
  </si>
  <si>
    <t>genuine main</t>
  </si>
  <si>
    <t>DA 3 as 297</t>
  </si>
  <si>
    <t>DA 4 as 302</t>
  </si>
  <si>
    <t>DA R1 as 292</t>
  </si>
  <si>
    <t>DA 3 as 307</t>
  </si>
  <si>
    <t>DA 4 as 312</t>
  </si>
  <si>
    <t>DA 5 as 317</t>
  </si>
  <si>
    <t>M2,R2</t>
  </si>
  <si>
    <t>M2,R1</t>
  </si>
  <si>
    <t>UNCONV</t>
  </si>
  <si>
    <r>
      <rPr>
        <b/>
        <sz val="11"/>
        <rFont val="Calibri"/>
        <family val="2"/>
        <scheme val="minor"/>
      </rPr>
      <t>DP op port:</t>
    </r>
    <r>
      <rPr>
        <sz val="11"/>
        <rFont val="Calibri"/>
        <family val="2"/>
        <scheme val="minor"/>
      </rPr>
      <t xml:space="preserve"> ports R1 or 3 as port 2, </t>
    </r>
    <r>
      <rPr>
        <b/>
        <sz val="11"/>
        <rFont val="Calibri"/>
        <family val="2"/>
        <scheme val="minor"/>
      </rPr>
      <t>DP IP port:</t>
    </r>
    <r>
      <rPr>
        <sz val="11"/>
        <rFont val="Calibri"/>
        <family val="2"/>
        <scheme val="minor"/>
      </rPr>
      <t xml:space="preserve"> R1 as 1 or 2 as 3</t>
    </r>
  </si>
  <si>
    <t>C x UHF - 1 to 16</t>
  </si>
  <si>
    <t>300</t>
  </si>
  <si>
    <t>UHF DA IP SW-4, UHF DA IP SW-5, UHF DA IP SW-6</t>
  </si>
  <si>
    <t>UHF DA OP SW-4, UHF DA OP SW-5, UHF DA OP SW-6</t>
  </si>
  <si>
    <t>UHF DA IP SW-2, UHF DA IP SW-3</t>
  </si>
  <si>
    <t>DP IP Port</t>
  </si>
  <si>
    <t>DP OP Port</t>
  </si>
  <si>
    <t>BW</t>
  </si>
  <si>
    <t>UHF DA OP SW-2, UHF DA OP SW-3</t>
  </si>
  <si>
    <t>UHF DA OP SW-1, UHF DA OP SW-2</t>
  </si>
  <si>
    <t>UHF DA-R2</t>
  </si>
  <si>
    <t>UHF DA OP SW-6, UHF DA OP SW-10</t>
  </si>
  <si>
    <t>UHF DA IP SW-4, UHF DA IP SW-5</t>
  </si>
  <si>
    <t>UHF DA OP SW-4, UHF DA OP SW-5</t>
  </si>
  <si>
    <t>UHF DA IP SW-3, UHF DA IP SW-4</t>
  </si>
  <si>
    <t>UHF DA OP SW-3, UHF DA OP SW-4</t>
  </si>
  <si>
    <t>UHF DA OP SW-9, UHF DA OP SW-1,</t>
  </si>
  <si>
    <t>M2, R1</t>
  </si>
  <si>
    <t>M1, R2</t>
  </si>
  <si>
    <t>UHF DA IP SW-1</t>
  </si>
  <si>
    <t>UHF DA OP SW-9</t>
  </si>
  <si>
    <t>UHF DA IP SW-6</t>
  </si>
  <si>
    <t>UHF DA OP SW-10</t>
  </si>
  <si>
    <t>ALL REDT, Extreme end</t>
  </si>
  <si>
    <t>ALL MAIN, DA DOWN</t>
  </si>
  <si>
    <t xml:space="preserve"> UHF DA OP SW-2, UHF DA OP SW-3</t>
  </si>
  <si>
    <t xml:space="preserve"> UHF DA IP SW-2, UHF DA IP SW-3</t>
  </si>
  <si>
    <t>S x C - Main 92 &amp; Redt 130 to 132</t>
  </si>
  <si>
    <t>C x S Test Configs - Main 93 to 94, Redt 133 to 139</t>
  </si>
  <si>
    <t>UHF DA OP SW-9, UHF DA OP SW-1</t>
  </si>
  <si>
    <t>M2 ON</t>
  </si>
  <si>
    <t>Ku x Ku ALC</t>
  </si>
  <si>
    <t>TWTAs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</si>
</sst>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00"/>
    <numFmt numFmtId="165" formatCode="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9"/>
      <color theme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7030A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name val="Calibri"/>
      <family val="2"/>
      <scheme val="minor"/>
    </font>
    <font>
      <sz val="7"/>
      <color theme="1"/>
      <name val="Arial Narrow"/>
      <family val="2"/>
    </font>
    <font>
      <sz val="11"/>
      <color rgb="FFC00000"/>
      <name val="Calibri"/>
      <family val="2"/>
      <scheme val="minor"/>
    </font>
    <font>
      <b/>
      <sz val="14"/>
      <color rgb="FF7030A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gradientFill>
        <stop position="0">
          <color theme="9" tint="0.59999389629810485"/>
        </stop>
        <stop position="1">
          <color theme="5" tint="0.59999389629810485"/>
        </stop>
      </gradient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98">
    <xf numFmtId="0" fontId="0" fillId="0" borderId="0" xfId="0"/>
    <xf numFmtId="49" fontId="0" fillId="0" borderId="0" xfId="0" applyNumberForma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49" fontId="0" fillId="6" borderId="1" xfId="0" applyNumberFormat="1" applyFill="1" applyBorder="1" applyAlignment="1">
      <alignment horizontal="center" vertical="center"/>
    </xf>
    <xf numFmtId="49" fontId="0" fillId="6" borderId="1" xfId="0" applyNumberFormat="1" applyFill="1" applyBorder="1" applyAlignment="1">
      <alignment horizontal="center" vertical="center" wrapText="1"/>
    </xf>
    <xf numFmtId="49" fontId="0" fillId="3" borderId="1" xfId="0" quotePrefix="1" applyNumberFormat="1" applyFill="1" applyBorder="1" applyAlignment="1">
      <alignment horizontal="center" vertical="center"/>
    </xf>
    <xf numFmtId="49" fontId="0" fillId="5" borderId="1" xfId="0" quotePrefix="1" applyNumberForma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Border="1" applyAlignment="1">
      <alignment horizontal="center"/>
    </xf>
    <xf numFmtId="0" fontId="1" fillId="8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64" fontId="0" fillId="7" borderId="1" xfId="0" applyNumberFormat="1" applyFill="1" applyBorder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4" borderId="19" xfId="0" applyFill="1" applyBorder="1" applyAlignment="1">
      <alignment horizontal="center"/>
    </xf>
    <xf numFmtId="0" fontId="0" fillId="11" borderId="19" xfId="0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0" fontId="0" fillId="11" borderId="18" xfId="0" applyFill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1" borderId="21" xfId="0" applyFill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11" borderId="1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0" borderId="1" xfId="0" applyFont="1" applyBorder="1" applyAlignment="1"/>
    <xf numFmtId="0" fontId="0" fillId="11" borderId="1" xfId="0" applyFill="1" applyBorder="1"/>
    <xf numFmtId="0" fontId="0" fillId="4" borderId="1" xfId="0" applyFill="1" applyBorder="1"/>
    <xf numFmtId="164" fontId="0" fillId="2" borderId="1" xfId="0" applyNumberFormat="1" applyFill="1" applyBorder="1" applyAlignment="1">
      <alignment horizontal="center" vertical="center"/>
    </xf>
    <xf numFmtId="164" fontId="0" fillId="15" borderId="1" xfId="0" applyNumberFormat="1" applyFill="1" applyBorder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164" fontId="0" fillId="9" borderId="1" xfId="0" applyNumberFormat="1" applyFill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4" xfId="0" applyFont="1" applyFill="1" applyBorder="1" applyAlignment="1">
      <alignment horizontal="center" vertical="center"/>
    </xf>
    <xf numFmtId="0" fontId="1" fillId="10" borderId="24" xfId="0" applyFont="1" applyFill="1" applyBorder="1" applyAlignment="1">
      <alignment horizontal="center" vertical="center"/>
    </xf>
    <xf numFmtId="0" fontId="1" fillId="9" borderId="24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9" borderId="18" xfId="0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6" fillId="0" borderId="24" xfId="0" applyFont="1" applyFill="1" applyBorder="1" applyAlignment="1">
      <alignment horizontal="center" vertical="center"/>
    </xf>
    <xf numFmtId="0" fontId="6" fillId="2" borderId="24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0" fillId="10" borderId="0" xfId="0" applyFill="1" applyAlignment="1">
      <alignment horizontal="center"/>
    </xf>
    <xf numFmtId="0" fontId="1" fillId="11" borderId="0" xfId="0" applyFont="1" applyFill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9" fillId="8" borderId="0" xfId="0" applyFont="1" applyFill="1" applyAlignment="1">
      <alignment horizontal="center"/>
    </xf>
    <xf numFmtId="0" fontId="9" fillId="8" borderId="1" xfId="0" applyFont="1" applyFill="1" applyBorder="1" applyAlignment="1">
      <alignment horizontal="center"/>
    </xf>
    <xf numFmtId="0" fontId="9" fillId="8" borderId="0" xfId="0" applyFont="1" applyFill="1" applyBorder="1" applyAlignment="1">
      <alignment horizontal="center"/>
    </xf>
    <xf numFmtId="0" fontId="0" fillId="8" borderId="16" xfId="0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0" fillId="0" borderId="19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7" borderId="18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17" borderId="18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 wrapText="1"/>
    </xf>
    <xf numFmtId="0" fontId="0" fillId="9" borderId="19" xfId="0" applyFill="1" applyBorder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/>
    </xf>
    <xf numFmtId="0" fontId="0" fillId="15" borderId="0" xfId="0" applyFill="1" applyAlignment="1">
      <alignment horizontal="center"/>
    </xf>
    <xf numFmtId="0" fontId="9" fillId="11" borderId="1" xfId="0" applyFont="1" applyFill="1" applyBorder="1" applyAlignment="1">
      <alignment horizontal="center"/>
    </xf>
    <xf numFmtId="0" fontId="0" fillId="11" borderId="1" xfId="0" applyFont="1" applyFill="1" applyBorder="1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0" fontId="0" fillId="9" borderId="0" xfId="0" applyFont="1" applyFill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11" borderId="0" xfId="0" applyFill="1" applyAlignment="1">
      <alignment horizontal="left" vertical="center"/>
    </xf>
    <xf numFmtId="0" fontId="0" fillId="3" borderId="0" xfId="0" applyFill="1" applyAlignment="1">
      <alignment horizontal="center" vertical="center"/>
    </xf>
    <xf numFmtId="0" fontId="3" fillId="0" borderId="16" xfId="0" applyFont="1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3" fillId="11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3" fillId="11" borderId="21" xfId="0" applyFont="1" applyFill="1" applyBorder="1" applyAlignment="1">
      <alignment horizontal="center" wrapText="1"/>
    </xf>
    <xf numFmtId="0" fontId="3" fillId="15" borderId="0" xfId="0" applyFont="1" applyFill="1" applyAlignment="1">
      <alignment horizontal="center"/>
    </xf>
    <xf numFmtId="0" fontId="0" fillId="0" borderId="18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14" borderId="0" xfId="0" applyFill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15" borderId="18" xfId="0" applyFont="1" applyFill="1" applyBorder="1" applyAlignment="1">
      <alignment horizontal="center" vertical="center"/>
    </xf>
    <xf numFmtId="0" fontId="0" fillId="2" borderId="18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18" borderId="1" xfId="0" applyFill="1" applyBorder="1" applyAlignment="1">
      <alignment horizontal="center" vertical="center"/>
    </xf>
    <xf numFmtId="0" fontId="2" fillId="0" borderId="18" xfId="0" applyFont="1" applyFill="1" applyBorder="1" applyAlignment="1">
      <alignment horizontal="center" wrapText="1"/>
    </xf>
    <xf numFmtId="0" fontId="0" fillId="0" borderId="18" xfId="0" applyBorder="1" applyAlignment="1">
      <alignment horizontal="center" wrapText="1"/>
    </xf>
    <xf numFmtId="0" fontId="1" fillId="0" borderId="15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165" fontId="12" fillId="17" borderId="1" xfId="0" applyNumberFormat="1" applyFont="1" applyFill="1" applyBorder="1" applyAlignment="1">
      <alignment horizontal="left" vertical="center"/>
    </xf>
    <xf numFmtId="165" fontId="12" fillId="4" borderId="1" xfId="0" applyNumberFormat="1" applyFont="1" applyFill="1" applyBorder="1" applyAlignment="1">
      <alignment horizontal="left" vertical="center"/>
    </xf>
    <xf numFmtId="165" fontId="12" fillId="14" borderId="1" xfId="0" applyNumberFormat="1" applyFont="1" applyFill="1" applyBorder="1" applyAlignment="1">
      <alignment horizontal="left" vertical="center"/>
    </xf>
    <xf numFmtId="165" fontId="12" fillId="19" borderId="31" xfId="0" applyNumberFormat="1" applyFont="1" applyFill="1" applyBorder="1" applyAlignment="1">
      <alignment horizontal="left" vertical="center"/>
    </xf>
    <xf numFmtId="165" fontId="12" fillId="19" borderId="1" xfId="0" applyNumberFormat="1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1" fontId="0" fillId="5" borderId="1" xfId="0" applyNumberFormat="1" applyFill="1" applyBorder="1" applyAlignment="1">
      <alignment horizontal="center" vertical="center"/>
    </xf>
    <xf numFmtId="1" fontId="0" fillId="6" borderId="1" xfId="0" applyNumberFormat="1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49" fontId="0" fillId="4" borderId="0" xfId="0" applyNumberFormat="1" applyFill="1" applyAlignment="1">
      <alignment horizontal="center" vertical="center"/>
    </xf>
    <xf numFmtId="49" fontId="0" fillId="17" borderId="0" xfId="0" applyNumberFormat="1" applyFill="1" applyAlignment="1">
      <alignment vertical="center" wrapText="1"/>
    </xf>
    <xf numFmtId="0" fontId="0" fillId="0" borderId="18" xfId="0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11" borderId="1" xfId="0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13" fillId="0" borderId="32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" fillId="11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6" fillId="11" borderId="1" xfId="0" applyFont="1" applyFill="1" applyBorder="1" applyAlignment="1">
      <alignment horizontal="center"/>
    </xf>
    <xf numFmtId="0" fontId="3" fillId="11" borderId="18" xfId="0" applyFont="1" applyFill="1" applyBorder="1" applyAlignment="1">
      <alignment horizontal="center"/>
    </xf>
    <xf numFmtId="0" fontId="3" fillId="12" borderId="1" xfId="0" applyFont="1" applyFill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0" fillId="11" borderId="0" xfId="0" applyFill="1" applyAlignment="1">
      <alignment horizontal="center" vertical="center"/>
    </xf>
    <xf numFmtId="0" fontId="0" fillId="18" borderId="1" xfId="0" applyFill="1" applyBorder="1" applyAlignment="1">
      <alignment horizontal="center"/>
    </xf>
    <xf numFmtId="0" fontId="1" fillId="0" borderId="26" xfId="0" applyFont="1" applyBorder="1" applyAlignment="1">
      <alignment horizontal="center" vertical="center"/>
    </xf>
    <xf numFmtId="0" fontId="0" fillId="4" borderId="26" xfId="0" applyFill="1" applyBorder="1" applyAlignment="1">
      <alignment horizontal="center" vertical="center"/>
    </xf>
    <xf numFmtId="0" fontId="0" fillId="14" borderId="26" xfId="0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6" xfId="0" applyFill="1" applyBorder="1" applyAlignment="1">
      <alignment horizontal="center" vertical="center"/>
    </xf>
    <xf numFmtId="0" fontId="0" fillId="11" borderId="18" xfId="0" applyFill="1" applyBorder="1" applyAlignment="1">
      <alignment horizontal="center" vertical="center"/>
    </xf>
    <xf numFmtId="0" fontId="0" fillId="11" borderId="19" xfId="0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0" fillId="0" borderId="38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0" fillId="11" borderId="38" xfId="0" applyFill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0" fillId="0" borderId="38" xfId="0" applyBorder="1" applyAlignment="1">
      <alignment horizontal="center" vertical="center" wrapText="1"/>
    </xf>
    <xf numFmtId="0" fontId="0" fillId="0" borderId="38" xfId="0" applyFill="1" applyBorder="1" applyAlignment="1">
      <alignment horizontal="center" vertical="center"/>
    </xf>
    <xf numFmtId="0" fontId="0" fillId="11" borderId="18" xfId="0" applyFill="1" applyBorder="1" applyAlignment="1">
      <alignment horizontal="center" vertical="center" wrapText="1"/>
    </xf>
    <xf numFmtId="0" fontId="0" fillId="11" borderId="19" xfId="0" applyFill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3" fillId="0" borderId="19" xfId="0" applyFont="1" applyFill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0" fontId="0" fillId="0" borderId="19" xfId="0" applyFill="1" applyBorder="1" applyAlignment="1">
      <alignment horizontal="center" vertical="center"/>
    </xf>
    <xf numFmtId="0" fontId="10" fillId="11" borderId="18" xfId="0" applyFont="1" applyFill="1" applyBorder="1" applyAlignment="1">
      <alignment horizontal="center" vertical="center"/>
    </xf>
    <xf numFmtId="0" fontId="10" fillId="0" borderId="18" xfId="0" applyFont="1" applyFill="1" applyBorder="1" applyAlignment="1">
      <alignment horizontal="center" vertical="center"/>
    </xf>
    <xf numFmtId="0" fontId="13" fillId="11" borderId="18" xfId="0" applyFont="1" applyFill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3" borderId="18" xfId="0" applyFill="1" applyBorder="1" applyAlignment="1">
      <alignment horizontal="center" vertical="center" wrapText="1"/>
    </xf>
    <xf numFmtId="0" fontId="0" fillId="3" borderId="19" xfId="0" applyFill="1" applyBorder="1" applyAlignment="1">
      <alignment horizontal="center" vertical="center" wrapText="1"/>
    </xf>
    <xf numFmtId="0" fontId="13" fillId="11" borderId="19" xfId="0" applyFont="1" applyFill="1" applyBorder="1" applyAlignment="1">
      <alignment horizontal="center" vertical="center"/>
    </xf>
    <xf numFmtId="0" fontId="0" fillId="21" borderId="24" xfId="0" applyFill="1" applyBorder="1" applyAlignment="1">
      <alignment vertical="center" wrapText="1"/>
    </xf>
    <xf numFmtId="0" fontId="0" fillId="4" borderId="38" xfId="0" applyFill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/>
    </xf>
    <xf numFmtId="0" fontId="13" fillId="11" borderId="38" xfId="0" applyFont="1" applyFill="1" applyBorder="1" applyAlignment="1">
      <alignment horizontal="center" vertical="center"/>
    </xf>
    <xf numFmtId="0" fontId="0" fillId="7" borderId="18" xfId="0" applyFill="1" applyBorder="1" applyAlignment="1">
      <alignment horizontal="center" vertical="center" wrapText="1"/>
    </xf>
    <xf numFmtId="0" fontId="0" fillId="7" borderId="19" xfId="0" applyFill="1" applyBorder="1" applyAlignment="1">
      <alignment horizontal="center" vertical="center" wrapText="1"/>
    </xf>
    <xf numFmtId="0" fontId="0" fillId="3" borderId="18" xfId="0" applyFill="1" applyBorder="1" applyAlignment="1">
      <alignment vertical="center"/>
    </xf>
    <xf numFmtId="0" fontId="0" fillId="3" borderId="19" xfId="0" applyFill="1" applyBorder="1" applyAlignment="1">
      <alignment vertical="center"/>
    </xf>
    <xf numFmtId="0" fontId="10" fillId="11" borderId="19" xfId="0" applyFont="1" applyFill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0" fillId="3" borderId="38" xfId="0" applyFill="1" applyBorder="1" applyAlignment="1">
      <alignment vertical="center"/>
    </xf>
    <xf numFmtId="0" fontId="10" fillId="11" borderId="38" xfId="0" applyFont="1" applyFill="1" applyBorder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0" fillId="22" borderId="1" xfId="0" applyFill="1" applyBorder="1" applyAlignment="1">
      <alignment horizontal="center" vertical="center"/>
    </xf>
    <xf numFmtId="0" fontId="0" fillId="22" borderId="0" xfId="0" applyFill="1" applyAlignment="1">
      <alignment horizontal="center" vertical="center"/>
    </xf>
    <xf numFmtId="0" fontId="14" fillId="22" borderId="1" xfId="0" applyFont="1" applyFill="1" applyBorder="1" applyAlignment="1">
      <alignment horizontal="center" vertical="center" wrapText="1"/>
    </xf>
    <xf numFmtId="0" fontId="0" fillId="20" borderId="1" xfId="0" applyFill="1" applyBorder="1" applyAlignment="1">
      <alignment horizontal="center" vertical="center"/>
    </xf>
    <xf numFmtId="0" fontId="0" fillId="20" borderId="0" xfId="0" applyFill="1" applyAlignment="1">
      <alignment horizontal="center" vertical="center"/>
    </xf>
    <xf numFmtId="0" fontId="14" fillId="0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5" fillId="17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5" fillId="17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15" fillId="18" borderId="1" xfId="0" applyFont="1" applyFill="1" applyBorder="1" applyAlignment="1">
      <alignment horizontal="center" vertical="center" wrapText="1"/>
    </xf>
    <xf numFmtId="0" fontId="15" fillId="9" borderId="1" xfId="0" applyFont="1" applyFill="1" applyBorder="1" applyAlignment="1">
      <alignment horizontal="center" vertical="center" wrapText="1"/>
    </xf>
    <xf numFmtId="0" fontId="15" fillId="10" borderId="1" xfId="0" applyFont="1" applyFill="1" applyBorder="1" applyAlignment="1">
      <alignment horizontal="center" vertical="center" wrapText="1"/>
    </xf>
    <xf numFmtId="0" fontId="15" fillId="11" borderId="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6" fillId="17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/>
    </xf>
    <xf numFmtId="1" fontId="15" fillId="0" borderId="1" xfId="0" applyNumberFormat="1" applyFont="1" applyFill="1" applyBorder="1" applyAlignment="1">
      <alignment horizontal="center" vertical="center"/>
    </xf>
    <xf numFmtId="0" fontId="15" fillId="1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 wrapText="1"/>
    </xf>
    <xf numFmtId="0" fontId="14" fillId="15" borderId="1" xfId="0" applyFont="1" applyFill="1" applyBorder="1" applyAlignment="1">
      <alignment horizontal="center" vertical="center" wrapText="1"/>
    </xf>
    <xf numFmtId="0" fontId="15" fillId="14" borderId="1" xfId="0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center" vertical="center" wrapText="1"/>
    </xf>
    <xf numFmtId="0" fontId="16" fillId="9" borderId="1" xfId="0" applyFont="1" applyFill="1" applyBorder="1" applyAlignment="1">
      <alignment horizontal="center" vertical="center" wrapText="1"/>
    </xf>
    <xf numFmtId="0" fontId="15" fillId="15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5" fillId="0" borderId="24" xfId="0" applyFont="1" applyBorder="1" applyAlignment="1">
      <alignment horizontal="center" vertical="center"/>
    </xf>
    <xf numFmtId="0" fontId="15" fillId="0" borderId="24" xfId="0" applyFont="1" applyFill="1" applyBorder="1" applyAlignment="1">
      <alignment horizontal="center" vertical="center"/>
    </xf>
    <xf numFmtId="0" fontId="15" fillId="17" borderId="16" xfId="0" applyFont="1" applyFill="1" applyBorder="1" applyAlignment="1">
      <alignment horizontal="center" vertical="center"/>
    </xf>
    <xf numFmtId="0" fontId="15" fillId="9" borderId="16" xfId="0" applyFont="1" applyFill="1" applyBorder="1" applyAlignment="1">
      <alignment horizontal="center" vertical="center"/>
    </xf>
    <xf numFmtId="164" fontId="15" fillId="9" borderId="16" xfId="0" applyNumberFormat="1" applyFont="1" applyFill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 wrapText="1"/>
    </xf>
    <xf numFmtId="0" fontId="15" fillId="0" borderId="16" xfId="0" applyFont="1" applyFill="1" applyBorder="1" applyAlignment="1">
      <alignment horizontal="center" vertical="center"/>
    </xf>
    <xf numFmtId="0" fontId="15" fillId="0" borderId="16" xfId="0" applyFont="1" applyFill="1" applyBorder="1" applyAlignment="1">
      <alignment horizontal="center" vertical="center" wrapText="1"/>
    </xf>
    <xf numFmtId="0" fontId="15" fillId="15" borderId="16" xfId="0" applyFont="1" applyFill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0" fontId="15" fillId="9" borderId="1" xfId="0" applyFont="1" applyFill="1" applyBorder="1" applyAlignment="1">
      <alignment horizontal="center" vertical="center"/>
    </xf>
    <xf numFmtId="164" fontId="15" fillId="9" borderId="1" xfId="0" applyNumberFormat="1" applyFont="1" applyFill="1" applyBorder="1" applyAlignment="1">
      <alignment horizontal="center" vertical="center"/>
    </xf>
    <xf numFmtId="0" fontId="15" fillId="15" borderId="1" xfId="0" applyFont="1" applyFill="1" applyBorder="1" applyAlignment="1">
      <alignment horizontal="center" vertical="center"/>
    </xf>
    <xf numFmtId="0" fontId="15" fillId="0" borderId="19" xfId="0" applyFont="1" applyBorder="1" applyAlignment="1">
      <alignment horizontal="center" vertical="center"/>
    </xf>
    <xf numFmtId="0" fontId="15" fillId="2" borderId="16" xfId="0" applyFont="1" applyFill="1" applyBorder="1" applyAlignment="1">
      <alignment horizontal="center" vertical="center"/>
    </xf>
    <xf numFmtId="164" fontId="15" fillId="2" borderId="16" xfId="0" applyNumberFormat="1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164" fontId="15" fillId="2" borderId="1" xfId="0" applyNumberFormat="1" applyFont="1" applyFill="1" applyBorder="1" applyAlignment="1">
      <alignment horizontal="center" vertical="center"/>
    </xf>
    <xf numFmtId="164" fontId="15" fillId="15" borderId="16" xfId="0" applyNumberFormat="1" applyFont="1" applyFill="1" applyBorder="1" applyAlignment="1">
      <alignment horizontal="center" vertical="center"/>
    </xf>
    <xf numFmtId="164" fontId="15" fillId="15" borderId="1" xfId="0" applyNumberFormat="1" applyFont="1" applyFill="1" applyBorder="1" applyAlignment="1">
      <alignment horizontal="center" vertical="center"/>
    </xf>
    <xf numFmtId="0" fontId="15" fillId="9" borderId="16" xfId="0" applyFont="1" applyFill="1" applyBorder="1" applyAlignment="1">
      <alignment horizontal="center" vertical="center" wrapText="1"/>
    </xf>
    <xf numFmtId="164" fontId="15" fillId="9" borderId="1" xfId="0" applyNumberFormat="1" applyFont="1" applyFill="1" applyBorder="1" applyAlignment="1">
      <alignment horizontal="center" vertical="center" wrapText="1"/>
    </xf>
    <xf numFmtId="164" fontId="15" fillId="2" borderId="1" xfId="0" applyNumberFormat="1" applyFont="1" applyFill="1" applyBorder="1" applyAlignment="1">
      <alignment horizontal="center" vertical="center" wrapText="1"/>
    </xf>
    <xf numFmtId="164" fontId="15" fillId="15" borderId="1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0" fillId="15" borderId="0" xfId="0" applyFill="1" applyAlignment="1">
      <alignment horizontal="center" vertical="center" wrapText="1"/>
    </xf>
    <xf numFmtId="0" fontId="17" fillId="17" borderId="0" xfId="0" applyFont="1" applyFill="1" applyAlignment="1">
      <alignment horizontal="center" vertical="center"/>
    </xf>
    <xf numFmtId="1" fontId="15" fillId="0" borderId="24" xfId="0" applyNumberFormat="1" applyFont="1" applyBorder="1" applyAlignment="1">
      <alignment horizontal="center" vertical="center"/>
    </xf>
    <xf numFmtId="0" fontId="15" fillId="10" borderId="24" xfId="0" applyFont="1" applyFill="1" applyBorder="1" applyAlignment="1">
      <alignment horizontal="center" vertical="center"/>
    </xf>
    <xf numFmtId="0" fontId="15" fillId="9" borderId="24" xfId="0" applyFont="1" applyFill="1" applyBorder="1" applyAlignment="1">
      <alignment horizontal="center" vertical="center"/>
    </xf>
    <xf numFmtId="0" fontId="18" fillId="0" borderId="24" xfId="0" applyFont="1" applyFill="1" applyBorder="1" applyAlignment="1">
      <alignment horizontal="center" vertical="center"/>
    </xf>
    <xf numFmtId="0" fontId="18" fillId="2" borderId="24" xfId="0" applyFont="1" applyFill="1" applyBorder="1" applyAlignment="1">
      <alignment horizontal="center" vertical="center"/>
    </xf>
    <xf numFmtId="0" fontId="14" fillId="9" borderId="16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14" fillId="5" borderId="2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 wrapText="1"/>
    </xf>
    <xf numFmtId="0" fontId="14" fillId="11" borderId="1" xfId="0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center" vertical="center" wrapText="1"/>
    </xf>
    <xf numFmtId="0" fontId="14" fillId="20" borderId="1" xfId="0" applyFont="1" applyFill="1" applyBorder="1" applyAlignment="1">
      <alignment horizontal="center" vertical="center"/>
    </xf>
    <xf numFmtId="0" fontId="14" fillId="20" borderId="1" xfId="0" applyFont="1" applyFill="1" applyBorder="1" applyAlignment="1">
      <alignment horizontal="center" vertical="center" wrapText="1"/>
    </xf>
    <xf numFmtId="1" fontId="15" fillId="9" borderId="16" xfId="0" applyNumberFormat="1" applyFont="1" applyFill="1" applyBorder="1" applyAlignment="1">
      <alignment horizontal="center" vertical="center"/>
    </xf>
    <xf numFmtId="0" fontId="15" fillId="10" borderId="16" xfId="0" applyFont="1" applyFill="1" applyBorder="1" applyAlignment="1">
      <alignment horizontal="center" vertical="center"/>
    </xf>
    <xf numFmtId="0" fontId="15" fillId="0" borderId="27" xfId="0" applyFont="1" applyBorder="1" applyAlignment="1">
      <alignment horizontal="center" vertical="center"/>
    </xf>
    <xf numFmtId="1" fontId="15" fillId="9" borderId="1" xfId="0" applyNumberFormat="1" applyFont="1" applyFill="1" applyBorder="1" applyAlignment="1">
      <alignment horizontal="center" vertical="center"/>
    </xf>
    <xf numFmtId="0" fontId="15" fillId="10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15" fillId="17" borderId="21" xfId="0" applyFont="1" applyFill="1" applyBorder="1" applyAlignment="1">
      <alignment horizontal="center" vertical="center"/>
    </xf>
    <xf numFmtId="0" fontId="15" fillId="9" borderId="21" xfId="0" applyFont="1" applyFill="1" applyBorder="1" applyAlignment="1">
      <alignment horizontal="center" vertical="center"/>
    </xf>
    <xf numFmtId="164" fontId="15" fillId="9" borderId="21" xfId="0" applyNumberFormat="1" applyFont="1" applyFill="1" applyBorder="1" applyAlignment="1">
      <alignment horizontal="center" vertical="center"/>
    </xf>
    <xf numFmtId="1" fontId="15" fillId="9" borderId="21" xfId="0" applyNumberFormat="1" applyFont="1" applyFill="1" applyBorder="1" applyAlignment="1">
      <alignment horizontal="center" vertical="center"/>
    </xf>
    <xf numFmtId="0" fontId="15" fillId="0" borderId="21" xfId="0" applyFont="1" applyBorder="1" applyAlignment="1">
      <alignment horizontal="center" vertical="center"/>
    </xf>
    <xf numFmtId="0" fontId="15" fillId="0" borderId="21" xfId="0" applyFont="1" applyBorder="1" applyAlignment="1">
      <alignment horizontal="center" vertical="center" wrapText="1"/>
    </xf>
    <xf numFmtId="0" fontId="15" fillId="0" borderId="21" xfId="0" applyFont="1" applyFill="1" applyBorder="1" applyAlignment="1">
      <alignment horizontal="center" vertical="center"/>
    </xf>
    <xf numFmtId="0" fontId="15" fillId="5" borderId="21" xfId="0" applyFont="1" applyFill="1" applyBorder="1" applyAlignment="1">
      <alignment horizontal="center" vertical="center" wrapText="1"/>
    </xf>
    <xf numFmtId="0" fontId="15" fillId="5" borderId="21" xfId="0" applyFont="1" applyFill="1" applyBorder="1" applyAlignment="1">
      <alignment horizontal="center" vertical="center"/>
    </xf>
    <xf numFmtId="0" fontId="15" fillId="10" borderId="21" xfId="0" applyFont="1" applyFill="1" applyBorder="1" applyAlignment="1">
      <alignment horizontal="center" vertical="center"/>
    </xf>
    <xf numFmtId="0" fontId="15" fillId="0" borderId="21" xfId="0" applyFont="1" applyFill="1" applyBorder="1" applyAlignment="1">
      <alignment horizontal="center" vertical="center" wrapText="1"/>
    </xf>
    <xf numFmtId="0" fontId="15" fillId="0" borderId="22" xfId="0" applyFont="1" applyBorder="1" applyAlignment="1">
      <alignment horizontal="center" vertical="center"/>
    </xf>
    <xf numFmtId="1" fontId="15" fillId="2" borderId="16" xfId="0" applyNumberFormat="1" applyFont="1" applyFill="1" applyBorder="1" applyAlignment="1">
      <alignment horizontal="center" vertical="center"/>
    </xf>
    <xf numFmtId="1" fontId="15" fillId="2" borderId="1" xfId="0" applyNumberFormat="1" applyFont="1" applyFill="1" applyBorder="1" applyAlignment="1">
      <alignment horizontal="center" vertical="center"/>
    </xf>
    <xf numFmtId="0" fontId="15" fillId="2" borderId="21" xfId="0" applyFont="1" applyFill="1" applyBorder="1" applyAlignment="1">
      <alignment horizontal="center" vertical="center"/>
    </xf>
    <xf numFmtId="164" fontId="15" fillId="2" borderId="21" xfId="0" applyNumberFormat="1" applyFont="1" applyFill="1" applyBorder="1" applyAlignment="1">
      <alignment horizontal="center" vertical="center"/>
    </xf>
    <xf numFmtId="1" fontId="15" fillId="2" borderId="21" xfId="0" applyNumberFormat="1" applyFont="1" applyFill="1" applyBorder="1" applyAlignment="1">
      <alignment horizontal="center" vertical="center"/>
    </xf>
    <xf numFmtId="1" fontId="15" fillId="15" borderId="16" xfId="0" applyNumberFormat="1" applyFont="1" applyFill="1" applyBorder="1" applyAlignment="1">
      <alignment horizontal="center" vertical="center"/>
    </xf>
    <xf numFmtId="1" fontId="15" fillId="15" borderId="1" xfId="0" applyNumberFormat="1" applyFont="1" applyFill="1" applyBorder="1" applyAlignment="1">
      <alignment horizontal="center" vertical="center"/>
    </xf>
    <xf numFmtId="0" fontId="15" fillId="15" borderId="21" xfId="0" applyFont="1" applyFill="1" applyBorder="1" applyAlignment="1">
      <alignment horizontal="center" vertical="center"/>
    </xf>
    <xf numFmtId="164" fontId="15" fillId="15" borderId="21" xfId="0" applyNumberFormat="1" applyFont="1" applyFill="1" applyBorder="1" applyAlignment="1">
      <alignment horizontal="center" vertical="center"/>
    </xf>
    <xf numFmtId="1" fontId="15" fillId="15" borderId="21" xfId="0" applyNumberFormat="1" applyFont="1" applyFill="1" applyBorder="1" applyAlignment="1">
      <alignment horizontal="center" vertical="center"/>
    </xf>
    <xf numFmtId="0" fontId="15" fillId="5" borderId="16" xfId="0" applyFont="1" applyFill="1" applyBorder="1" applyAlignment="1">
      <alignment horizontal="center" vertical="center"/>
    </xf>
    <xf numFmtId="164" fontId="15" fillId="5" borderId="16" xfId="0" applyNumberFormat="1" applyFont="1" applyFill="1" applyBorder="1" applyAlignment="1">
      <alignment horizontal="center" vertical="center"/>
    </xf>
    <xf numFmtId="1" fontId="15" fillId="5" borderId="16" xfId="0" applyNumberFormat="1" applyFont="1" applyFill="1" applyBorder="1" applyAlignment="1">
      <alignment horizontal="center" vertical="center"/>
    </xf>
    <xf numFmtId="164" fontId="15" fillId="5" borderId="1" xfId="0" applyNumberFormat="1" applyFont="1" applyFill="1" applyBorder="1" applyAlignment="1">
      <alignment horizontal="center" vertical="center"/>
    </xf>
    <xf numFmtId="1" fontId="15" fillId="5" borderId="1" xfId="0" applyNumberFormat="1" applyFont="1" applyFill="1" applyBorder="1" applyAlignment="1">
      <alignment horizontal="center" vertical="center"/>
    </xf>
    <xf numFmtId="164" fontId="15" fillId="5" borderId="21" xfId="0" applyNumberFormat="1" applyFont="1" applyFill="1" applyBorder="1" applyAlignment="1">
      <alignment horizontal="center" vertical="center"/>
    </xf>
    <xf numFmtId="1" fontId="15" fillId="5" borderId="2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" fontId="15" fillId="4" borderId="1" xfId="0" applyNumberFormat="1" applyFont="1" applyFill="1" applyBorder="1" applyAlignment="1">
      <alignment horizontal="center" vertical="center"/>
    </xf>
    <xf numFmtId="0" fontId="15" fillId="4" borderId="19" xfId="0" applyFont="1" applyFill="1" applyBorder="1" applyAlignment="1">
      <alignment horizontal="center" vertical="center"/>
    </xf>
    <xf numFmtId="164" fontId="15" fillId="14" borderId="1" xfId="0" applyNumberFormat="1" applyFont="1" applyFill="1" applyBorder="1" applyAlignment="1">
      <alignment horizontal="center" vertical="center"/>
    </xf>
    <xf numFmtId="1" fontId="15" fillId="14" borderId="1" xfId="0" applyNumberFormat="1" applyFont="1" applyFill="1" applyBorder="1" applyAlignment="1">
      <alignment horizontal="center" vertical="center"/>
    </xf>
    <xf numFmtId="0" fontId="15" fillId="14" borderId="19" xfId="0" applyFont="1" applyFill="1" applyBorder="1" applyAlignment="1">
      <alignment horizontal="center" vertical="center"/>
    </xf>
    <xf numFmtId="0" fontId="15" fillId="22" borderId="1" xfId="0" applyFont="1" applyFill="1" applyBorder="1" applyAlignment="1">
      <alignment horizontal="center" vertical="center"/>
    </xf>
    <xf numFmtId="164" fontId="15" fillId="22" borderId="1" xfId="0" applyNumberFormat="1" applyFont="1" applyFill="1" applyBorder="1" applyAlignment="1">
      <alignment horizontal="center" vertical="center"/>
    </xf>
    <xf numFmtId="1" fontId="15" fillId="22" borderId="1" xfId="0" applyNumberFormat="1" applyFont="1" applyFill="1" applyBorder="1" applyAlignment="1">
      <alignment horizontal="center" vertical="center"/>
    </xf>
    <xf numFmtId="0" fontId="15" fillId="22" borderId="1" xfId="0" applyFont="1" applyFill="1" applyBorder="1" applyAlignment="1">
      <alignment horizontal="center" vertical="center" wrapText="1"/>
    </xf>
    <xf numFmtId="0" fontId="15" fillId="22" borderId="19" xfId="0" applyFont="1" applyFill="1" applyBorder="1" applyAlignment="1">
      <alignment horizontal="center" vertical="center"/>
    </xf>
    <xf numFmtId="0" fontId="18" fillId="22" borderId="1" xfId="0" applyFont="1" applyFill="1" applyBorder="1" applyAlignment="1">
      <alignment horizontal="center" vertical="center"/>
    </xf>
    <xf numFmtId="164" fontId="15" fillId="7" borderId="1" xfId="0" applyNumberFormat="1" applyFont="1" applyFill="1" applyBorder="1" applyAlignment="1">
      <alignment horizontal="center" vertical="center"/>
    </xf>
    <xf numFmtId="1" fontId="15" fillId="7" borderId="1" xfId="0" applyNumberFormat="1" applyFont="1" applyFill="1" applyBorder="1" applyAlignment="1">
      <alignment horizontal="center" vertical="center"/>
    </xf>
    <xf numFmtId="0" fontId="15" fillId="7" borderId="19" xfId="0" applyFont="1" applyFill="1" applyBorder="1" applyAlignment="1">
      <alignment horizontal="center" vertical="center"/>
    </xf>
    <xf numFmtId="164" fontId="15" fillId="3" borderId="1" xfId="0" applyNumberFormat="1" applyFont="1" applyFill="1" applyBorder="1" applyAlignment="1">
      <alignment horizontal="center" vertical="center"/>
    </xf>
    <xf numFmtId="1" fontId="15" fillId="3" borderId="1" xfId="0" applyNumberFormat="1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 wrapText="1"/>
    </xf>
    <xf numFmtId="0" fontId="15" fillId="3" borderId="19" xfId="0" applyFont="1" applyFill="1" applyBorder="1" applyAlignment="1">
      <alignment horizontal="center" vertical="center"/>
    </xf>
    <xf numFmtId="0" fontId="15" fillId="11" borderId="1" xfId="0" applyFont="1" applyFill="1" applyBorder="1" applyAlignment="1">
      <alignment horizontal="center" vertical="center"/>
    </xf>
    <xf numFmtId="164" fontId="15" fillId="11" borderId="1" xfId="0" applyNumberFormat="1" applyFont="1" applyFill="1" applyBorder="1" applyAlignment="1">
      <alignment horizontal="center" vertical="center"/>
    </xf>
    <xf numFmtId="1" fontId="15" fillId="11" borderId="1" xfId="0" applyNumberFormat="1" applyFont="1" applyFill="1" applyBorder="1" applyAlignment="1">
      <alignment horizontal="center" vertical="center"/>
    </xf>
    <xf numFmtId="0" fontId="18" fillId="11" borderId="1" xfId="0" applyFont="1" applyFill="1" applyBorder="1" applyAlignment="1">
      <alignment horizontal="center" vertical="center" wrapText="1"/>
    </xf>
    <xf numFmtId="0" fontId="15" fillId="11" borderId="19" xfId="0" applyFont="1" applyFill="1" applyBorder="1" applyAlignment="1">
      <alignment horizontal="center" vertical="center"/>
    </xf>
    <xf numFmtId="0" fontId="15" fillId="20" borderId="1" xfId="0" applyFont="1" applyFill="1" applyBorder="1" applyAlignment="1">
      <alignment horizontal="center" vertical="center"/>
    </xf>
    <xf numFmtId="164" fontId="15" fillId="20" borderId="1" xfId="0" applyNumberFormat="1" applyFont="1" applyFill="1" applyBorder="1" applyAlignment="1">
      <alignment horizontal="center" vertical="center"/>
    </xf>
    <xf numFmtId="1" fontId="15" fillId="20" borderId="1" xfId="0" applyNumberFormat="1" applyFont="1" applyFill="1" applyBorder="1" applyAlignment="1">
      <alignment horizontal="center" vertical="center"/>
    </xf>
    <xf numFmtId="0" fontId="15" fillId="20" borderId="1" xfId="0" applyFont="1" applyFill="1" applyBorder="1" applyAlignment="1">
      <alignment horizontal="center" vertical="center" wrapText="1"/>
    </xf>
    <xf numFmtId="0" fontId="18" fillId="20" borderId="1" xfId="0" applyFont="1" applyFill="1" applyBorder="1" applyAlignment="1">
      <alignment horizontal="center" vertical="center" wrapText="1"/>
    </xf>
    <xf numFmtId="0" fontId="15" fillId="20" borderId="19" xfId="0" applyFont="1" applyFill="1" applyBorder="1" applyAlignment="1">
      <alignment horizontal="center" vertical="center"/>
    </xf>
    <xf numFmtId="0" fontId="15" fillId="13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8" fillId="11" borderId="1" xfId="0" applyFont="1" applyFill="1" applyBorder="1" applyAlignment="1">
      <alignment horizontal="center" vertical="center"/>
    </xf>
    <xf numFmtId="0" fontId="18" fillId="20" borderId="1" xfId="0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3" fillId="11" borderId="21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7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0" fillId="11" borderId="0" xfId="0" applyFill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7" borderId="24" xfId="0" applyFill="1" applyBorder="1" applyAlignment="1">
      <alignment horizontal="center" vertical="center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11" borderId="24" xfId="0" applyFill="1" applyBorder="1" applyAlignment="1">
      <alignment horizontal="center" vertical="center" wrapText="1"/>
    </xf>
    <xf numFmtId="0" fontId="3" fillId="11" borderId="21" xfId="0" applyFont="1" applyFill="1" applyBorder="1" applyAlignment="1">
      <alignment horizontal="center" vertical="center" wrapText="1"/>
    </xf>
    <xf numFmtId="0" fontId="0" fillId="11" borderId="0" xfId="0" applyFill="1" applyAlignment="1">
      <alignment horizontal="center" vertical="center" wrapText="1"/>
    </xf>
    <xf numFmtId="0" fontId="0" fillId="8" borderId="24" xfId="0" applyFill="1" applyBorder="1" applyAlignment="1">
      <alignment horizontal="center" vertical="center"/>
    </xf>
    <xf numFmtId="0" fontId="0" fillId="20" borderId="24" xfId="0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/>
    </xf>
    <xf numFmtId="0" fontId="5" fillId="16" borderId="1" xfId="0" applyFont="1" applyFill="1" applyBorder="1" applyAlignment="1">
      <alignment horizontal="center"/>
    </xf>
    <xf numFmtId="0" fontId="1" fillId="11" borderId="26" xfId="0" applyFont="1" applyFill="1" applyBorder="1" applyAlignment="1">
      <alignment horizontal="center"/>
    </xf>
    <xf numFmtId="0" fontId="1" fillId="11" borderId="27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11" borderId="1" xfId="0" applyFill="1" applyBorder="1" applyAlignment="1">
      <alignment horizontal="center"/>
    </xf>
    <xf numFmtId="0" fontId="0" fillId="11" borderId="21" xfId="0" applyFill="1" applyBorder="1" applyAlignment="1">
      <alignment horizontal="center" wrapText="1"/>
    </xf>
    <xf numFmtId="0" fontId="0" fillId="0" borderId="0" xfId="0" applyAlignment="1">
      <alignment horizontal="center" vertical="center"/>
    </xf>
    <xf numFmtId="0" fontId="0" fillId="11" borderId="1" xfId="0" applyFill="1" applyBorder="1" applyAlignment="1">
      <alignment horizontal="center" wrapText="1"/>
    </xf>
    <xf numFmtId="0" fontId="0" fillId="11" borderId="21" xfId="0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3" borderId="0" xfId="0" applyFont="1" applyFill="1" applyAlignment="1">
      <alignment horizontal="center" wrapText="1"/>
    </xf>
    <xf numFmtId="0" fontId="1" fillId="3" borderId="8" xfId="0" applyFont="1" applyFill="1" applyBorder="1" applyAlignment="1">
      <alignment horizontal="center" wrapText="1"/>
    </xf>
    <xf numFmtId="0" fontId="1" fillId="3" borderId="0" xfId="0" applyFont="1" applyFill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432355</xdr:colOff>
      <xdr:row>9</xdr:row>
      <xdr:rowOff>45345</xdr:rowOff>
    </xdr:from>
    <xdr:to>
      <xdr:col>6</xdr:col>
      <xdr:colOff>522235</xdr:colOff>
      <xdr:row>23</xdr:row>
      <xdr:rowOff>104926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72830" y="1769370"/>
          <a:ext cx="3223604" cy="27265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257210</xdr:colOff>
      <xdr:row>24</xdr:row>
      <xdr:rowOff>166051</xdr:rowOff>
    </xdr:from>
    <xdr:to>
      <xdr:col>6</xdr:col>
      <xdr:colOff>475895</xdr:colOff>
      <xdr:row>44</xdr:row>
      <xdr:rowOff>140779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02160" y="4747576"/>
          <a:ext cx="5647934" cy="39998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685160</xdr:colOff>
      <xdr:row>46</xdr:row>
      <xdr:rowOff>123266</xdr:rowOff>
    </xdr:from>
    <xdr:to>
      <xdr:col>5</xdr:col>
      <xdr:colOff>596314</xdr:colOff>
      <xdr:row>53</xdr:row>
      <xdr:rowOff>132791</xdr:rowOff>
    </xdr:to>
    <xdr:pic>
      <xdr:nvPicPr>
        <xdr:cNvPr id="6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26748" y="8908678"/>
          <a:ext cx="4729683" cy="1343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342935</xdr:colOff>
      <xdr:row>55</xdr:row>
      <xdr:rowOff>108901</xdr:rowOff>
    </xdr:from>
    <xdr:to>
      <xdr:col>6</xdr:col>
      <xdr:colOff>561620</xdr:colOff>
      <xdr:row>75</xdr:row>
      <xdr:rowOff>85828</xdr:rowOff>
    </xdr:to>
    <xdr:pic>
      <xdr:nvPicPr>
        <xdr:cNvPr id="7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87885" y="10605451"/>
          <a:ext cx="5647934" cy="39998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20</xdr:col>
      <xdr:colOff>41413</xdr:colOff>
      <xdr:row>14</xdr:row>
      <xdr:rowOff>33131</xdr:rowOff>
    </xdr:from>
    <xdr:to>
      <xdr:col>20</xdr:col>
      <xdr:colOff>819978</xdr:colOff>
      <xdr:row>17</xdr:row>
      <xdr:rowOff>107674</xdr:rowOff>
    </xdr:to>
    <xdr:cxnSp macro="">
      <xdr:nvCxnSpPr>
        <xdr:cNvPr id="5" name="Curved Connector 4"/>
        <xdr:cNvCxnSpPr/>
      </xdr:nvCxnSpPr>
      <xdr:spPr>
        <a:xfrm flipV="1">
          <a:off x="30943826" y="2716696"/>
          <a:ext cx="778565" cy="646043"/>
        </a:xfrm>
        <a:prstGeom prst="curved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152400</xdr:colOff>
      <xdr:row>1</xdr:row>
      <xdr:rowOff>180975</xdr:rowOff>
    </xdr:from>
    <xdr:to>
      <xdr:col>6</xdr:col>
      <xdr:colOff>0</xdr:colOff>
      <xdr:row>16</xdr:row>
      <xdr:rowOff>50056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371475"/>
          <a:ext cx="3209925" cy="27265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308966</xdr:colOff>
      <xdr:row>16</xdr:row>
      <xdr:rowOff>142875</xdr:rowOff>
    </xdr:from>
    <xdr:to>
      <xdr:col>5</xdr:col>
      <xdr:colOff>608822</xdr:colOff>
      <xdr:row>36</xdr:row>
      <xdr:rowOff>161925</xdr:rowOff>
    </xdr:to>
    <xdr:pic>
      <xdr:nvPicPr>
        <xdr:cNvPr id="3" name="Picture 2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9946"/>
        <a:stretch/>
      </xdr:blipFill>
      <xdr:spPr bwMode="auto">
        <a:xfrm>
          <a:off x="994766" y="3190875"/>
          <a:ext cx="3081156" cy="382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topLeftCell="A8" zoomScale="205" zoomScaleNormal="205" workbookViewId="0">
      <selection activeCell="A20" sqref="A20:XFD20"/>
    </sheetView>
  </sheetViews>
  <sheetFormatPr defaultColWidth="9.140625" defaultRowHeight="15" x14ac:dyDescent="0.25"/>
  <cols>
    <col min="1" max="1" width="11.28515625" style="1" bestFit="1" customWidth="1"/>
    <col min="2" max="2" width="14.5703125" style="1" bestFit="1" customWidth="1"/>
    <col min="3" max="3" width="12.140625" style="1" customWidth="1"/>
    <col min="4" max="4" width="14.7109375" style="1" bestFit="1" customWidth="1"/>
    <col min="5" max="5" width="9.140625" style="1"/>
    <col min="6" max="6" width="30.42578125" style="1" bestFit="1" customWidth="1"/>
    <col min="7" max="16384" width="9.140625" style="1"/>
  </cols>
  <sheetData>
    <row r="1" spans="1:8" x14ac:dyDescent="0.25">
      <c r="A1" s="435" t="s">
        <v>22</v>
      </c>
      <c r="B1" s="435"/>
      <c r="C1" s="435"/>
      <c r="D1" s="435"/>
    </row>
    <row r="2" spans="1:8" s="2" customFormat="1" x14ac:dyDescent="0.25">
      <c r="A2" s="11" t="s">
        <v>4</v>
      </c>
      <c r="B2" s="11" t="s">
        <v>5</v>
      </c>
      <c r="C2" s="11" t="s">
        <v>0</v>
      </c>
      <c r="D2" s="11" t="s">
        <v>7</v>
      </c>
      <c r="H2" s="2" t="s">
        <v>23</v>
      </c>
    </row>
    <row r="3" spans="1:8" x14ac:dyDescent="0.25">
      <c r="A3" s="3" t="s">
        <v>6</v>
      </c>
      <c r="B3" s="188">
        <v>4</v>
      </c>
      <c r="C3" s="3" t="s">
        <v>507</v>
      </c>
      <c r="D3" s="3" t="s">
        <v>2</v>
      </c>
    </row>
    <row r="4" spans="1:8" x14ac:dyDescent="0.25">
      <c r="A4" s="3" t="s">
        <v>495</v>
      </c>
      <c r="B4" s="188">
        <v>4</v>
      </c>
      <c r="C4" s="3" t="s">
        <v>508</v>
      </c>
      <c r="D4" s="3" t="s">
        <v>2</v>
      </c>
      <c r="F4" s="194" t="s">
        <v>506</v>
      </c>
    </row>
    <row r="5" spans="1:8" x14ac:dyDescent="0.25">
      <c r="A5" s="5" t="s">
        <v>496</v>
      </c>
      <c r="B5" s="189">
        <v>12</v>
      </c>
      <c r="C5" s="5" t="s">
        <v>1</v>
      </c>
      <c r="D5" s="5" t="s">
        <v>8</v>
      </c>
    </row>
    <row r="6" spans="1:8" x14ac:dyDescent="0.25">
      <c r="A6" s="5" t="s">
        <v>497</v>
      </c>
      <c r="B6" s="189">
        <v>12</v>
      </c>
      <c r="C6" s="5" t="s">
        <v>1</v>
      </c>
      <c r="D6" s="5" t="s">
        <v>9</v>
      </c>
    </row>
    <row r="7" spans="1:8" x14ac:dyDescent="0.25">
      <c r="A7" s="5" t="s">
        <v>498</v>
      </c>
      <c r="B7" s="189">
        <v>12</v>
      </c>
      <c r="C7" s="5" t="s">
        <v>1</v>
      </c>
      <c r="D7" s="5" t="s">
        <v>10</v>
      </c>
    </row>
    <row r="8" spans="1:8" x14ac:dyDescent="0.25">
      <c r="A8" s="5" t="s">
        <v>499</v>
      </c>
      <c r="B8" s="189">
        <v>12</v>
      </c>
      <c r="C8" s="5" t="s">
        <v>1</v>
      </c>
      <c r="D8" s="5" t="s">
        <v>11</v>
      </c>
    </row>
    <row r="9" spans="1:8" x14ac:dyDescent="0.25">
      <c r="A9" s="6" t="s">
        <v>500</v>
      </c>
      <c r="B9" s="190">
        <v>5</v>
      </c>
      <c r="C9" s="6" t="s">
        <v>3</v>
      </c>
      <c r="D9" s="6" t="s">
        <v>12</v>
      </c>
    </row>
    <row r="10" spans="1:8" x14ac:dyDescent="0.25">
      <c r="A10" s="6" t="s">
        <v>501</v>
      </c>
      <c r="B10" s="190">
        <v>5</v>
      </c>
      <c r="C10" s="6" t="s">
        <v>3</v>
      </c>
      <c r="D10" s="6" t="s">
        <v>13</v>
      </c>
    </row>
    <row r="11" spans="1:8" x14ac:dyDescent="0.25">
      <c r="A11" s="6" t="s">
        <v>502</v>
      </c>
      <c r="B11" s="190">
        <v>5</v>
      </c>
      <c r="C11" s="6" t="s">
        <v>3</v>
      </c>
      <c r="D11" s="6" t="s">
        <v>14</v>
      </c>
    </row>
    <row r="12" spans="1:8" x14ac:dyDescent="0.25">
      <c r="A12" s="3" t="s">
        <v>503</v>
      </c>
      <c r="B12" s="3">
        <v>4</v>
      </c>
      <c r="C12" s="3" t="s">
        <v>507</v>
      </c>
      <c r="D12" s="3" t="s">
        <v>390</v>
      </c>
      <c r="F12" s="195" t="s">
        <v>478</v>
      </c>
    </row>
    <row r="13" spans="1:8" x14ac:dyDescent="0.25">
      <c r="A13" s="3" t="s">
        <v>504</v>
      </c>
      <c r="B13" s="3">
        <v>4</v>
      </c>
      <c r="C13" s="3" t="s">
        <v>508</v>
      </c>
      <c r="D13" s="3" t="s">
        <v>390</v>
      </c>
      <c r="F13" s="194" t="s">
        <v>506</v>
      </c>
    </row>
    <row r="14" spans="1:8" x14ac:dyDescent="0.25">
      <c r="A14" s="5" t="s">
        <v>509</v>
      </c>
      <c r="B14" s="5">
        <v>4</v>
      </c>
      <c r="C14" s="5" t="s">
        <v>1</v>
      </c>
      <c r="D14" s="5" t="s">
        <v>513</v>
      </c>
      <c r="F14" s="195" t="s">
        <v>478</v>
      </c>
    </row>
    <row r="15" spans="1:8" x14ac:dyDescent="0.25">
      <c r="A15" s="5" t="s">
        <v>518</v>
      </c>
      <c r="B15" s="5">
        <v>4</v>
      </c>
      <c r="C15" s="5" t="s">
        <v>1</v>
      </c>
      <c r="D15" s="5" t="s">
        <v>514</v>
      </c>
      <c r="F15" s="194" t="s">
        <v>506</v>
      </c>
    </row>
    <row r="16" spans="1:8" x14ac:dyDescent="0.25">
      <c r="A16" s="5" t="s">
        <v>519</v>
      </c>
      <c r="B16" s="5">
        <v>4</v>
      </c>
      <c r="C16" s="5" t="s">
        <v>1</v>
      </c>
      <c r="D16" s="5" t="s">
        <v>515</v>
      </c>
      <c r="F16" s="194" t="s">
        <v>506</v>
      </c>
    </row>
    <row r="17" spans="1:6" x14ac:dyDescent="0.25">
      <c r="A17" s="7" t="s">
        <v>516</v>
      </c>
      <c r="B17" s="191">
        <v>1</v>
      </c>
      <c r="C17" s="7" t="s">
        <v>338</v>
      </c>
      <c r="D17" s="8" t="s">
        <v>16</v>
      </c>
    </row>
    <row r="18" spans="1:6" x14ac:dyDescent="0.25">
      <c r="A18" s="7" t="s">
        <v>517</v>
      </c>
      <c r="B18" s="191">
        <v>1</v>
      </c>
      <c r="C18" s="7" t="s">
        <v>510</v>
      </c>
      <c r="D18" s="8" t="s">
        <v>16</v>
      </c>
    </row>
    <row r="19" spans="1:6" x14ac:dyDescent="0.25">
      <c r="A19" s="7" t="s">
        <v>505</v>
      </c>
      <c r="B19" s="191">
        <v>1</v>
      </c>
      <c r="C19" s="7" t="s">
        <v>511</v>
      </c>
      <c r="D19" s="8" t="s">
        <v>16</v>
      </c>
      <c r="F19" s="194" t="s">
        <v>506</v>
      </c>
    </row>
    <row r="20" spans="1:6" x14ac:dyDescent="0.25">
      <c r="A20" s="3" t="s">
        <v>512</v>
      </c>
      <c r="B20" s="188">
        <v>2</v>
      </c>
      <c r="C20" s="3" t="s">
        <v>15</v>
      </c>
      <c r="D20" s="3" t="s">
        <v>16</v>
      </c>
    </row>
    <row r="21" spans="1:6" x14ac:dyDescent="0.25">
      <c r="A21" s="5" t="s">
        <v>520</v>
      </c>
      <c r="B21" s="189">
        <v>6</v>
      </c>
      <c r="C21" s="5" t="s">
        <v>17</v>
      </c>
      <c r="D21" s="5" t="s">
        <v>18</v>
      </c>
    </row>
    <row r="22" spans="1:6" x14ac:dyDescent="0.25">
      <c r="A22" s="5" t="s">
        <v>521</v>
      </c>
      <c r="B22" s="189">
        <v>2</v>
      </c>
      <c r="C22" s="5" t="s">
        <v>17</v>
      </c>
      <c r="D22" s="5" t="s">
        <v>19</v>
      </c>
    </row>
    <row r="23" spans="1:6" x14ac:dyDescent="0.25">
      <c r="A23" s="4" t="s">
        <v>522</v>
      </c>
      <c r="B23" s="192">
        <v>2</v>
      </c>
      <c r="C23" s="4" t="s">
        <v>20</v>
      </c>
      <c r="D23" s="9" t="s">
        <v>16</v>
      </c>
    </row>
    <row r="24" spans="1:6" x14ac:dyDescent="0.25">
      <c r="A24" s="6" t="s">
        <v>523</v>
      </c>
      <c r="B24" s="190">
        <v>1</v>
      </c>
      <c r="C24" s="6" t="s">
        <v>21</v>
      </c>
      <c r="D24" s="10" t="s">
        <v>16</v>
      </c>
    </row>
    <row r="25" spans="1:6" x14ac:dyDescent="0.25">
      <c r="A25" s="237" t="s">
        <v>585</v>
      </c>
      <c r="B25" s="189">
        <v>1</v>
      </c>
      <c r="C25" s="5" t="s">
        <v>1</v>
      </c>
      <c r="D25" s="5" t="s">
        <v>553</v>
      </c>
      <c r="F25" s="1" t="s">
        <v>539</v>
      </c>
    </row>
    <row r="26" spans="1:6" x14ac:dyDescent="0.25">
      <c r="B26" s="193">
        <v>108</v>
      </c>
    </row>
  </sheetData>
  <mergeCells count="1">
    <mergeCell ref="A1:D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C1:AB138"/>
  <sheetViews>
    <sheetView topLeftCell="A10" zoomScale="85" zoomScaleNormal="85" workbookViewId="0">
      <selection activeCell="P37" sqref="P37"/>
    </sheetView>
  </sheetViews>
  <sheetFormatPr defaultRowHeight="15" x14ac:dyDescent="0.25"/>
  <cols>
    <col min="1" max="2" width="9.140625" style="109"/>
    <col min="3" max="3" width="13.7109375" style="150" bestFit="1" customWidth="1"/>
    <col min="4" max="4" width="17.28515625" style="109" bestFit="1" customWidth="1"/>
    <col min="5" max="5" width="9.140625" style="109"/>
    <col min="6" max="6" width="7.140625" style="109" customWidth="1"/>
    <col min="7" max="7" width="11" style="109" bestFit="1" customWidth="1"/>
    <col min="8" max="8" width="11.7109375" style="109" bestFit="1" customWidth="1"/>
    <col min="9" max="9" width="11.7109375" style="205" customWidth="1"/>
    <col min="10" max="10" width="10.7109375" style="109" bestFit="1" customWidth="1"/>
    <col min="11" max="11" width="12" style="109" customWidth="1"/>
    <col min="12" max="13" width="10.7109375" style="109" bestFit="1" customWidth="1"/>
    <col min="14" max="15" width="10.7109375" style="198" bestFit="1" customWidth="1"/>
    <col min="16" max="16" width="17.42578125" style="109" customWidth="1"/>
    <col min="17" max="17" width="12.42578125" style="109" bestFit="1" customWidth="1"/>
    <col min="18" max="18" width="15" style="109" bestFit="1" customWidth="1"/>
    <col min="19" max="20" width="11.42578125" style="109" bestFit="1" customWidth="1"/>
    <col min="21" max="21" width="12.5703125" style="109" bestFit="1" customWidth="1"/>
    <col min="22" max="23" width="11.42578125" style="109" bestFit="1" customWidth="1"/>
    <col min="24" max="24" width="12.42578125" style="109" bestFit="1" customWidth="1"/>
    <col min="25" max="25" width="12.5703125" style="109" bestFit="1" customWidth="1"/>
    <col min="26" max="26" width="11.42578125" style="109" bestFit="1" customWidth="1"/>
    <col min="27" max="16384" width="9.140625" style="109"/>
  </cols>
  <sheetData>
    <row r="1" spans="3:20" s="114" customFormat="1" x14ac:dyDescent="0.25">
      <c r="C1" s="149" t="s">
        <v>0</v>
      </c>
      <c r="D1" s="114" t="s">
        <v>350</v>
      </c>
      <c r="I1" s="209"/>
      <c r="N1" s="197"/>
      <c r="O1" s="197"/>
    </row>
    <row r="2" spans="3:20" x14ac:dyDescent="0.25">
      <c r="C2" s="151" t="s">
        <v>340</v>
      </c>
      <c r="D2" s="109">
        <v>36</v>
      </c>
      <c r="G2" s="437" t="s">
        <v>351</v>
      </c>
      <c r="H2" s="437"/>
      <c r="I2" s="437"/>
      <c r="J2" s="437"/>
      <c r="K2" s="437"/>
      <c r="L2" s="437"/>
      <c r="P2" s="437" t="s">
        <v>352</v>
      </c>
      <c r="Q2" s="437"/>
      <c r="R2" s="437"/>
      <c r="S2" s="437"/>
      <c r="T2" s="437"/>
    </row>
    <row r="3" spans="3:20" x14ac:dyDescent="0.25">
      <c r="C3" s="151" t="s">
        <v>342</v>
      </c>
      <c r="D3" s="109">
        <v>24</v>
      </c>
      <c r="G3" s="115" t="s">
        <v>353</v>
      </c>
      <c r="H3" s="115" t="s">
        <v>94</v>
      </c>
      <c r="I3" s="211" t="s">
        <v>2</v>
      </c>
      <c r="J3" s="115" t="s">
        <v>356</v>
      </c>
      <c r="K3" s="115" t="s">
        <v>357</v>
      </c>
      <c r="L3" s="115"/>
      <c r="P3" s="115"/>
      <c r="Q3" s="115" t="s">
        <v>94</v>
      </c>
      <c r="R3" s="115" t="s">
        <v>356</v>
      </c>
      <c r="S3" s="115" t="s">
        <v>357</v>
      </c>
      <c r="T3" s="115"/>
    </row>
    <row r="4" spans="3:20" ht="21" x14ac:dyDescent="0.25">
      <c r="C4" s="151" t="s">
        <v>341</v>
      </c>
      <c r="D4" s="109">
        <v>84</v>
      </c>
      <c r="G4" s="115" t="s">
        <v>26</v>
      </c>
      <c r="H4" s="115">
        <v>1</v>
      </c>
      <c r="I4" s="211"/>
      <c r="J4" s="115" t="s">
        <v>358</v>
      </c>
      <c r="K4" s="115" t="s">
        <v>358</v>
      </c>
      <c r="L4" s="115">
        <v>16</v>
      </c>
      <c r="N4" s="346">
        <f>R46+T43+K45+R33+J28+L10+T10+AB86+M20+Q39+S20+S15</f>
        <v>231</v>
      </c>
      <c r="P4" s="115" t="s">
        <v>26</v>
      </c>
      <c r="Q4" s="115">
        <v>1</v>
      </c>
      <c r="R4" s="115" t="s">
        <v>120</v>
      </c>
      <c r="S4" s="115" t="s">
        <v>120</v>
      </c>
      <c r="T4" s="115">
        <v>4</v>
      </c>
    </row>
    <row r="5" spans="3:20" x14ac:dyDescent="0.25">
      <c r="C5" s="151" t="s">
        <v>343</v>
      </c>
      <c r="D5" s="109">
        <v>24</v>
      </c>
      <c r="G5" s="115" t="s">
        <v>26</v>
      </c>
      <c r="H5" s="115" t="s">
        <v>114</v>
      </c>
      <c r="I5" s="211" t="s">
        <v>120</v>
      </c>
      <c r="J5" s="115" t="s">
        <v>120</v>
      </c>
      <c r="K5" s="115" t="s">
        <v>120</v>
      </c>
      <c r="L5" s="115">
        <v>4</v>
      </c>
      <c r="P5" s="115" t="s">
        <v>26</v>
      </c>
      <c r="Q5" s="115" t="s">
        <v>114</v>
      </c>
      <c r="R5" s="115" t="s">
        <v>121</v>
      </c>
      <c r="S5" s="115" t="s">
        <v>121</v>
      </c>
      <c r="T5" s="115">
        <v>4</v>
      </c>
    </row>
    <row r="6" spans="3:20" x14ac:dyDescent="0.25">
      <c r="C6" s="151" t="s">
        <v>3</v>
      </c>
      <c r="D6" s="109">
        <v>21</v>
      </c>
      <c r="G6" s="115" t="s">
        <v>26</v>
      </c>
      <c r="H6" s="115" t="s">
        <v>115</v>
      </c>
      <c r="I6" s="211" t="s">
        <v>120</v>
      </c>
      <c r="J6" s="115" t="s">
        <v>120</v>
      </c>
      <c r="K6" s="115" t="s">
        <v>120</v>
      </c>
      <c r="L6" s="115">
        <v>4</v>
      </c>
      <c r="P6" s="115" t="s">
        <v>26</v>
      </c>
      <c r="Q6" s="115" t="s">
        <v>115</v>
      </c>
      <c r="R6" s="115" t="s">
        <v>121</v>
      </c>
      <c r="S6" s="115" t="s">
        <v>121</v>
      </c>
      <c r="T6" s="115">
        <v>4</v>
      </c>
    </row>
    <row r="7" spans="3:20" x14ac:dyDescent="0.25">
      <c r="C7" s="151" t="s">
        <v>338</v>
      </c>
      <c r="D7" s="109">
        <v>4</v>
      </c>
      <c r="G7" s="115" t="s">
        <v>27</v>
      </c>
      <c r="H7" s="115">
        <v>2</v>
      </c>
      <c r="I7" s="211" t="s">
        <v>120</v>
      </c>
      <c r="J7" s="115" t="s">
        <v>120</v>
      </c>
      <c r="K7" s="115" t="s">
        <v>120</v>
      </c>
      <c r="L7" s="115">
        <v>4</v>
      </c>
      <c r="P7" s="115" t="s">
        <v>27</v>
      </c>
      <c r="Q7" s="115">
        <v>2</v>
      </c>
      <c r="R7" s="115" t="s">
        <v>120</v>
      </c>
      <c r="S7" s="115" t="s">
        <v>120</v>
      </c>
      <c r="T7" s="115">
        <v>4</v>
      </c>
    </row>
    <row r="8" spans="3:20" x14ac:dyDescent="0.25">
      <c r="C8" s="151" t="s">
        <v>339</v>
      </c>
      <c r="D8" s="109">
        <v>9</v>
      </c>
      <c r="G8" s="115" t="s">
        <v>27</v>
      </c>
      <c r="H8" s="115" t="s">
        <v>114</v>
      </c>
      <c r="I8" s="211" t="s">
        <v>120</v>
      </c>
      <c r="J8" s="115" t="s">
        <v>120</v>
      </c>
      <c r="K8" s="115" t="s">
        <v>120</v>
      </c>
      <c r="L8" s="115">
        <v>4</v>
      </c>
      <c r="P8" s="115" t="s">
        <v>27</v>
      </c>
      <c r="Q8" s="115" t="s">
        <v>114</v>
      </c>
      <c r="R8" s="115" t="s">
        <v>121</v>
      </c>
      <c r="S8" s="115" t="s">
        <v>121</v>
      </c>
      <c r="T8" s="115">
        <v>4</v>
      </c>
    </row>
    <row r="9" spans="3:20" x14ac:dyDescent="0.25">
      <c r="C9" s="151" t="s">
        <v>15</v>
      </c>
      <c r="D9" s="109">
        <v>8</v>
      </c>
      <c r="G9" s="115" t="s">
        <v>27</v>
      </c>
      <c r="H9" s="115" t="s">
        <v>115</v>
      </c>
      <c r="I9" s="211" t="s">
        <v>120</v>
      </c>
      <c r="J9" s="115" t="s">
        <v>120</v>
      </c>
      <c r="K9" s="115" t="s">
        <v>120</v>
      </c>
      <c r="L9" s="115">
        <v>4</v>
      </c>
      <c r="P9" s="115" t="s">
        <v>27</v>
      </c>
      <c r="Q9" s="115" t="s">
        <v>115</v>
      </c>
      <c r="R9" s="115" t="s">
        <v>121</v>
      </c>
      <c r="S9" s="115" t="s">
        <v>121</v>
      </c>
      <c r="T9" s="115">
        <v>4</v>
      </c>
    </row>
    <row r="10" spans="3:20" x14ac:dyDescent="0.25">
      <c r="C10" s="151" t="s">
        <v>17</v>
      </c>
      <c r="D10" s="109">
        <v>24</v>
      </c>
      <c r="G10" s="115"/>
      <c r="H10" s="115"/>
      <c r="I10" s="211"/>
      <c r="J10" s="115"/>
      <c r="K10" s="115"/>
      <c r="L10" s="115">
        <f>SUM(L4:L9)</f>
        <v>36</v>
      </c>
      <c r="P10" s="115"/>
      <c r="Q10" s="115"/>
      <c r="R10" s="115"/>
      <c r="S10" s="115"/>
      <c r="T10" s="115">
        <f>SUM(T4:T9)</f>
        <v>24</v>
      </c>
    </row>
    <row r="11" spans="3:20" ht="15.75" thickBot="1" x14ac:dyDescent="0.3">
      <c r="C11" s="151" t="s">
        <v>21</v>
      </c>
      <c r="D11" s="109">
        <v>2</v>
      </c>
    </row>
    <row r="12" spans="3:20" x14ac:dyDescent="0.25">
      <c r="C12" s="151" t="s">
        <v>20</v>
      </c>
      <c r="D12" s="109">
        <v>4</v>
      </c>
      <c r="G12" s="437" t="s">
        <v>343</v>
      </c>
      <c r="H12" s="437"/>
      <c r="I12" s="437"/>
      <c r="J12" s="437"/>
      <c r="K12" s="437"/>
      <c r="L12" s="437"/>
      <c r="M12" s="437"/>
      <c r="N12" s="437"/>
      <c r="O12" s="437"/>
      <c r="P12" s="437"/>
      <c r="R12" s="451" t="s">
        <v>21</v>
      </c>
      <c r="S12" s="452"/>
    </row>
    <row r="13" spans="3:20" x14ac:dyDescent="0.25">
      <c r="D13" s="63">
        <f>SUM(D2:D12)</f>
        <v>240</v>
      </c>
      <c r="G13" s="115" t="s">
        <v>140</v>
      </c>
      <c r="H13" s="115" t="s">
        <v>386</v>
      </c>
      <c r="I13" s="115" t="s">
        <v>385</v>
      </c>
      <c r="J13" s="115" t="s">
        <v>387</v>
      </c>
      <c r="K13" s="115" t="s">
        <v>355</v>
      </c>
      <c r="L13" s="115" t="s">
        <v>357</v>
      </c>
      <c r="M13" s="115"/>
      <c r="N13" s="199"/>
      <c r="R13" s="172" t="s">
        <v>472</v>
      </c>
      <c r="S13" s="93">
        <v>1</v>
      </c>
    </row>
    <row r="14" spans="3:20" x14ac:dyDescent="0.25">
      <c r="G14" s="115" t="s">
        <v>120</v>
      </c>
      <c r="H14" s="115" t="s">
        <v>120</v>
      </c>
      <c r="I14" s="115">
        <v>1</v>
      </c>
      <c r="J14" s="115" t="s">
        <v>120</v>
      </c>
      <c r="K14" s="115" t="s">
        <v>120</v>
      </c>
      <c r="L14" s="115" t="s">
        <v>120</v>
      </c>
      <c r="M14" s="115">
        <v>4</v>
      </c>
      <c r="N14" s="199"/>
      <c r="R14" s="172" t="s">
        <v>473</v>
      </c>
      <c r="S14" s="93">
        <v>1</v>
      </c>
    </row>
    <row r="15" spans="3:20" ht="15.75" thickBot="1" x14ac:dyDescent="0.3">
      <c r="G15" s="115" t="s">
        <v>120</v>
      </c>
      <c r="H15" s="115" t="s">
        <v>120</v>
      </c>
      <c r="I15" s="115">
        <v>2</v>
      </c>
      <c r="J15" s="115" t="s">
        <v>120</v>
      </c>
      <c r="K15" s="115" t="s">
        <v>120</v>
      </c>
      <c r="L15" s="115" t="s">
        <v>120</v>
      </c>
      <c r="M15" s="115">
        <v>4</v>
      </c>
      <c r="N15" s="199"/>
      <c r="R15" s="168"/>
      <c r="S15" s="95">
        <v>2</v>
      </c>
    </row>
    <row r="16" spans="3:20" ht="30.75" thickBot="1" x14ac:dyDescent="0.3">
      <c r="C16" s="180" t="s">
        <v>476</v>
      </c>
      <c r="D16" s="181" t="s">
        <v>477</v>
      </c>
      <c r="G16" s="115" t="s">
        <v>120</v>
      </c>
      <c r="H16" s="115" t="s">
        <v>120</v>
      </c>
      <c r="I16" s="115">
        <v>3</v>
      </c>
      <c r="J16" s="115" t="s">
        <v>120</v>
      </c>
      <c r="K16" s="115" t="s">
        <v>120</v>
      </c>
      <c r="L16" s="115" t="s">
        <v>120</v>
      </c>
      <c r="M16" s="115">
        <v>4</v>
      </c>
      <c r="N16" s="199"/>
    </row>
    <row r="17" spans="3:19" x14ac:dyDescent="0.25">
      <c r="C17" s="161" t="s">
        <v>119</v>
      </c>
      <c r="D17" s="162" t="s">
        <v>392</v>
      </c>
      <c r="G17" s="115" t="s">
        <v>121</v>
      </c>
      <c r="H17" s="115" t="s">
        <v>121</v>
      </c>
      <c r="I17" s="115">
        <v>1</v>
      </c>
      <c r="J17" s="115" t="s">
        <v>121</v>
      </c>
      <c r="K17" s="115" t="s">
        <v>121</v>
      </c>
      <c r="L17" s="115" t="s">
        <v>121</v>
      </c>
      <c r="M17" s="115">
        <v>4</v>
      </c>
      <c r="N17" s="199"/>
      <c r="R17" s="451" t="s">
        <v>20</v>
      </c>
      <c r="S17" s="452"/>
    </row>
    <row r="18" spans="3:19" x14ac:dyDescent="0.25">
      <c r="C18" s="161" t="s">
        <v>118</v>
      </c>
      <c r="D18" s="162" t="s">
        <v>391</v>
      </c>
      <c r="G18" s="115" t="s">
        <v>121</v>
      </c>
      <c r="H18" s="115" t="s">
        <v>121</v>
      </c>
      <c r="I18" s="115">
        <v>2</v>
      </c>
      <c r="J18" s="115" t="s">
        <v>121</v>
      </c>
      <c r="K18" s="115" t="s">
        <v>121</v>
      </c>
      <c r="L18" s="115" t="s">
        <v>121</v>
      </c>
      <c r="M18" s="115">
        <v>4</v>
      </c>
      <c r="N18" s="199"/>
      <c r="R18" s="172" t="s">
        <v>474</v>
      </c>
      <c r="S18" s="93">
        <v>2</v>
      </c>
    </row>
    <row r="19" spans="3:19" x14ac:dyDescent="0.25">
      <c r="C19" s="161" t="s">
        <v>391</v>
      </c>
      <c r="D19" s="162" t="s">
        <v>118</v>
      </c>
      <c r="G19" s="115" t="s">
        <v>121</v>
      </c>
      <c r="H19" s="115" t="s">
        <v>121</v>
      </c>
      <c r="I19" s="115">
        <v>3</v>
      </c>
      <c r="J19" s="115" t="s">
        <v>121</v>
      </c>
      <c r="K19" s="115" t="s">
        <v>121</v>
      </c>
      <c r="L19" s="115" t="s">
        <v>121</v>
      </c>
      <c r="M19" s="115">
        <v>4</v>
      </c>
      <c r="N19" s="199"/>
      <c r="R19" s="172" t="s">
        <v>475</v>
      </c>
      <c r="S19" s="93">
        <v>2</v>
      </c>
    </row>
    <row r="20" spans="3:19" ht="15.75" thickBot="1" x14ac:dyDescent="0.3">
      <c r="C20" s="163" t="s">
        <v>392</v>
      </c>
      <c r="D20" s="164" t="s">
        <v>119</v>
      </c>
      <c r="G20" s="115"/>
      <c r="H20" s="115"/>
      <c r="I20" s="115"/>
      <c r="J20" s="115"/>
      <c r="K20" s="115"/>
      <c r="L20" s="115"/>
      <c r="M20" s="115">
        <f>SUM(M14:M19)</f>
        <v>24</v>
      </c>
      <c r="N20" s="199"/>
      <c r="R20" s="168"/>
      <c r="S20" s="95">
        <f>4</f>
        <v>4</v>
      </c>
    </row>
    <row r="21" spans="3:19" ht="15.75" thickBot="1" x14ac:dyDescent="0.3"/>
    <row r="22" spans="3:19" x14ac:dyDescent="0.25">
      <c r="G22" s="438" t="s">
        <v>611</v>
      </c>
      <c r="H22" s="439"/>
      <c r="I22" s="440"/>
      <c r="J22" s="441"/>
      <c r="L22" s="437" t="s">
        <v>612</v>
      </c>
      <c r="M22" s="437"/>
      <c r="N22" s="437"/>
      <c r="O22" s="437"/>
      <c r="P22" s="437"/>
      <c r="Q22" s="437"/>
      <c r="R22" s="437"/>
    </row>
    <row r="23" spans="3:19" x14ac:dyDescent="0.25">
      <c r="G23" s="166" t="s">
        <v>355</v>
      </c>
      <c r="H23" s="113" t="s">
        <v>357</v>
      </c>
      <c r="I23" s="233"/>
      <c r="J23" s="167"/>
      <c r="L23" s="115" t="s">
        <v>353</v>
      </c>
      <c r="M23" s="115" t="s">
        <v>94</v>
      </c>
      <c r="N23" s="199"/>
      <c r="O23" s="199"/>
      <c r="P23" s="115" t="s">
        <v>356</v>
      </c>
      <c r="Q23" s="110" t="s">
        <v>408</v>
      </c>
      <c r="R23" s="115"/>
    </row>
    <row r="24" spans="3:19" x14ac:dyDescent="0.25">
      <c r="F24" s="109" t="s">
        <v>409</v>
      </c>
      <c r="G24" s="128" t="s">
        <v>120</v>
      </c>
      <c r="H24" s="120" t="s">
        <v>120</v>
      </c>
      <c r="I24" s="234"/>
      <c r="J24" s="93">
        <v>1</v>
      </c>
      <c r="L24" s="169" t="s">
        <v>26</v>
      </c>
      <c r="M24" s="169">
        <v>1</v>
      </c>
      <c r="N24" s="169"/>
      <c r="O24" s="169"/>
      <c r="P24" s="72" t="s">
        <v>120</v>
      </c>
      <c r="Q24" s="169" t="s">
        <v>120</v>
      </c>
      <c r="R24" s="115">
        <v>1</v>
      </c>
      <c r="S24" s="109" t="s">
        <v>409</v>
      </c>
    </row>
    <row r="25" spans="3:19" x14ac:dyDescent="0.25">
      <c r="G25" s="128" t="s">
        <v>120</v>
      </c>
      <c r="H25" s="133" t="s">
        <v>121</v>
      </c>
      <c r="I25" s="235"/>
      <c r="J25" s="93">
        <v>1</v>
      </c>
      <c r="L25" s="72" t="s">
        <v>26</v>
      </c>
      <c r="M25" s="72">
        <v>1</v>
      </c>
      <c r="N25" s="72"/>
      <c r="O25" s="72"/>
      <c r="P25" s="72" t="s">
        <v>120</v>
      </c>
      <c r="Q25" s="169" t="s">
        <v>114</v>
      </c>
      <c r="R25" s="115">
        <v>1</v>
      </c>
      <c r="S25" s="109" t="s">
        <v>409</v>
      </c>
    </row>
    <row r="26" spans="3:19" x14ac:dyDescent="0.25">
      <c r="G26" s="122" t="s">
        <v>121</v>
      </c>
      <c r="H26" s="120" t="s">
        <v>120</v>
      </c>
      <c r="I26" s="234"/>
      <c r="J26" s="93">
        <v>1</v>
      </c>
      <c r="L26" s="72" t="s">
        <v>26</v>
      </c>
      <c r="M26" s="72">
        <v>1</v>
      </c>
      <c r="N26" s="72"/>
      <c r="O26" s="72"/>
      <c r="P26" s="72" t="s">
        <v>120</v>
      </c>
      <c r="Q26" s="169" t="s">
        <v>115</v>
      </c>
      <c r="R26" s="115">
        <v>1</v>
      </c>
      <c r="S26" s="109" t="s">
        <v>409</v>
      </c>
    </row>
    <row r="27" spans="3:19" x14ac:dyDescent="0.25">
      <c r="F27" s="109" t="s">
        <v>409</v>
      </c>
      <c r="G27" s="122" t="s">
        <v>121</v>
      </c>
      <c r="H27" s="133" t="s">
        <v>121</v>
      </c>
      <c r="I27" s="235"/>
      <c r="J27" s="93">
        <v>1</v>
      </c>
      <c r="L27" s="120" t="s">
        <v>26</v>
      </c>
      <c r="M27" s="120">
        <v>1</v>
      </c>
      <c r="N27" s="120"/>
      <c r="O27" s="120"/>
      <c r="P27" s="170" t="s">
        <v>114</v>
      </c>
      <c r="Q27" s="120" t="s">
        <v>120</v>
      </c>
      <c r="R27" s="115">
        <v>1</v>
      </c>
      <c r="S27" s="109" t="s">
        <v>409</v>
      </c>
    </row>
    <row r="28" spans="3:19" ht="15.75" thickBot="1" x14ac:dyDescent="0.3">
      <c r="G28" s="168"/>
      <c r="H28" s="94"/>
      <c r="I28" s="236"/>
      <c r="J28" s="95">
        <v>4</v>
      </c>
      <c r="L28" s="145" t="s">
        <v>26</v>
      </c>
      <c r="M28" s="145" t="s">
        <v>114</v>
      </c>
      <c r="N28" s="145"/>
      <c r="O28" s="145"/>
      <c r="P28" s="60" t="s">
        <v>120</v>
      </c>
      <c r="Q28" s="60" t="s">
        <v>120</v>
      </c>
      <c r="R28" s="60">
        <v>1</v>
      </c>
    </row>
    <row r="29" spans="3:19" x14ac:dyDescent="0.25">
      <c r="L29" s="145" t="s">
        <v>26</v>
      </c>
      <c r="M29" s="145" t="s">
        <v>115</v>
      </c>
      <c r="N29" s="145"/>
      <c r="O29" s="145"/>
      <c r="P29" s="60" t="s">
        <v>120</v>
      </c>
      <c r="Q29" s="60" t="s">
        <v>120</v>
      </c>
      <c r="R29" s="60">
        <v>1</v>
      </c>
    </row>
    <row r="30" spans="3:19" x14ac:dyDescent="0.25">
      <c r="L30" s="145" t="s">
        <v>27</v>
      </c>
      <c r="M30" s="145">
        <v>2</v>
      </c>
      <c r="N30" s="145"/>
      <c r="O30" s="145"/>
      <c r="P30" s="60" t="s">
        <v>120</v>
      </c>
      <c r="Q30" s="60" t="s">
        <v>120</v>
      </c>
      <c r="R30" s="60">
        <v>1</v>
      </c>
    </row>
    <row r="31" spans="3:19" x14ac:dyDescent="0.25">
      <c r="L31" s="145" t="s">
        <v>27</v>
      </c>
      <c r="M31" s="145" t="s">
        <v>114</v>
      </c>
      <c r="N31" s="145"/>
      <c r="O31" s="145"/>
      <c r="P31" s="60" t="s">
        <v>120</v>
      </c>
      <c r="Q31" s="60" t="s">
        <v>120</v>
      </c>
      <c r="R31" s="60">
        <v>1</v>
      </c>
    </row>
    <row r="32" spans="3:19" x14ac:dyDescent="0.25">
      <c r="L32" s="145" t="s">
        <v>27</v>
      </c>
      <c r="M32" s="145" t="s">
        <v>115</v>
      </c>
      <c r="N32" s="145"/>
      <c r="O32" s="145"/>
      <c r="P32" s="60" t="s">
        <v>120</v>
      </c>
      <c r="Q32" s="60" t="s">
        <v>120</v>
      </c>
      <c r="R32" s="60">
        <v>1</v>
      </c>
    </row>
    <row r="33" spans="7:20" x14ac:dyDescent="0.25">
      <c r="L33" s="115"/>
      <c r="M33" s="115"/>
      <c r="N33" s="199"/>
      <c r="O33" s="199"/>
      <c r="P33" s="115"/>
      <c r="Q33" s="115"/>
      <c r="R33" s="115">
        <f>SUM(R24:R32)</f>
        <v>9</v>
      </c>
    </row>
    <row r="34" spans="7:20" ht="15.75" thickBot="1" x14ac:dyDescent="0.3"/>
    <row r="35" spans="7:20" x14ac:dyDescent="0.25">
      <c r="G35" s="453" t="s">
        <v>555</v>
      </c>
      <c r="H35" s="454"/>
      <c r="I35" s="454"/>
      <c r="J35" s="454"/>
      <c r="K35" s="455"/>
      <c r="P35" s="453" t="s">
        <v>471</v>
      </c>
      <c r="Q35" s="454"/>
      <c r="R35" s="455"/>
    </row>
    <row r="36" spans="7:20" x14ac:dyDescent="0.25">
      <c r="G36" s="172"/>
      <c r="H36" s="115" t="s">
        <v>354</v>
      </c>
      <c r="I36" s="211"/>
      <c r="J36" s="115" t="s">
        <v>439</v>
      </c>
      <c r="K36" s="93"/>
      <c r="P36" s="35" t="s">
        <v>470</v>
      </c>
      <c r="Q36" s="175">
        <f>5*3</f>
        <v>15</v>
      </c>
      <c r="R36" s="36"/>
    </row>
    <row r="37" spans="7:20" ht="60" x14ac:dyDescent="0.25">
      <c r="G37" s="173" t="s">
        <v>26</v>
      </c>
      <c r="H37" s="171" t="s">
        <v>120</v>
      </c>
      <c r="I37" s="171"/>
      <c r="J37" s="171" t="s">
        <v>120</v>
      </c>
      <c r="K37" s="93">
        <v>1</v>
      </c>
      <c r="P37" s="178" t="s">
        <v>583</v>
      </c>
      <c r="Q37" s="175">
        <v>3</v>
      </c>
      <c r="R37" s="36" t="s">
        <v>192</v>
      </c>
    </row>
    <row r="38" spans="7:20" ht="30" x14ac:dyDescent="0.25">
      <c r="G38" s="173" t="s">
        <v>26</v>
      </c>
      <c r="H38" s="171" t="s">
        <v>114</v>
      </c>
      <c r="I38" s="171"/>
      <c r="J38" s="171" t="s">
        <v>120</v>
      </c>
      <c r="K38" s="93">
        <v>1</v>
      </c>
      <c r="P38" s="179" t="s">
        <v>193</v>
      </c>
      <c r="Q38" s="175">
        <f>1*3</f>
        <v>3</v>
      </c>
      <c r="R38" s="36" t="s">
        <v>192</v>
      </c>
    </row>
    <row r="39" spans="7:20" ht="15.75" thickBot="1" x14ac:dyDescent="0.3">
      <c r="G39" s="173" t="s">
        <v>26</v>
      </c>
      <c r="H39" s="171" t="s">
        <v>115</v>
      </c>
      <c r="I39" s="171"/>
      <c r="J39" s="171" t="s">
        <v>120</v>
      </c>
      <c r="K39" s="93">
        <v>1</v>
      </c>
      <c r="P39" s="39"/>
      <c r="Q39" s="40">
        <f>SUM(Q36:Q38)</f>
        <v>21</v>
      </c>
      <c r="R39" s="41"/>
    </row>
    <row r="40" spans="7:20" ht="15.75" thickBot="1" x14ac:dyDescent="0.3">
      <c r="G40" s="173" t="s">
        <v>26</v>
      </c>
      <c r="H40" s="171" t="s">
        <v>114</v>
      </c>
      <c r="I40" s="171"/>
      <c r="J40" s="171" t="s">
        <v>121</v>
      </c>
      <c r="K40" s="93">
        <v>1</v>
      </c>
    </row>
    <row r="41" spans="7:20" x14ac:dyDescent="0.25">
      <c r="G41" s="174" t="s">
        <v>27</v>
      </c>
      <c r="H41" s="171" t="s">
        <v>120</v>
      </c>
      <c r="I41" s="171"/>
      <c r="J41" s="171" t="s">
        <v>120</v>
      </c>
      <c r="K41" s="93">
        <v>1</v>
      </c>
      <c r="P41" s="438" t="s">
        <v>554</v>
      </c>
      <c r="Q41" s="439"/>
      <c r="R41" s="441"/>
      <c r="T41" s="242" t="s">
        <v>615</v>
      </c>
    </row>
    <row r="42" spans="7:20" ht="45.75" customHeight="1" x14ac:dyDescent="0.25">
      <c r="G42" s="174" t="s">
        <v>27</v>
      </c>
      <c r="H42" s="171" t="s">
        <v>114</v>
      </c>
      <c r="I42" s="171"/>
      <c r="J42" s="171" t="s">
        <v>120</v>
      </c>
      <c r="K42" s="93">
        <v>1</v>
      </c>
      <c r="P42" s="172"/>
      <c r="Q42" s="176" t="s">
        <v>18</v>
      </c>
      <c r="R42" s="93" t="s">
        <v>19</v>
      </c>
      <c r="T42" s="243" t="s">
        <v>616</v>
      </c>
    </row>
    <row r="43" spans="7:20" ht="15.75" thickBot="1" x14ac:dyDescent="0.3">
      <c r="G43" s="174" t="s">
        <v>27</v>
      </c>
      <c r="H43" s="171" t="s">
        <v>115</v>
      </c>
      <c r="I43" s="171"/>
      <c r="J43" s="171" t="s">
        <v>120</v>
      </c>
      <c r="K43" s="93">
        <v>1</v>
      </c>
      <c r="P43" s="172" t="s">
        <v>169</v>
      </c>
      <c r="Q43" s="176">
        <v>6</v>
      </c>
      <c r="R43" s="36">
        <v>2</v>
      </c>
      <c r="T43" s="247">
        <v>8</v>
      </c>
    </row>
    <row r="44" spans="7:20" x14ac:dyDescent="0.25">
      <c r="G44" s="174" t="s">
        <v>27</v>
      </c>
      <c r="H44" s="171" t="s">
        <v>114</v>
      </c>
      <c r="I44" s="171"/>
      <c r="J44" s="171" t="s">
        <v>121</v>
      </c>
      <c r="K44" s="93">
        <v>1</v>
      </c>
      <c r="P44" s="35" t="s">
        <v>440</v>
      </c>
      <c r="Q44" s="175">
        <v>6</v>
      </c>
      <c r="R44" s="93">
        <v>2</v>
      </c>
    </row>
    <row r="45" spans="7:20" ht="15.75" thickBot="1" x14ac:dyDescent="0.3">
      <c r="G45" s="168"/>
      <c r="H45" s="94"/>
      <c r="I45" s="94"/>
      <c r="J45" s="94"/>
      <c r="K45" s="95">
        <f>SUM(K37:K44)</f>
        <v>8</v>
      </c>
      <c r="P45" s="172" t="s">
        <v>441</v>
      </c>
      <c r="Q45" s="176">
        <v>6</v>
      </c>
      <c r="R45" s="93">
        <v>2</v>
      </c>
    </row>
    <row r="46" spans="7:20" ht="15.75" thickBot="1" x14ac:dyDescent="0.3">
      <c r="P46" s="168"/>
      <c r="Q46" s="94"/>
      <c r="R46" s="95">
        <f>SUM(Q43:R45)</f>
        <v>24</v>
      </c>
    </row>
    <row r="48" spans="7:20" ht="15.75" thickBot="1" x14ac:dyDescent="0.3"/>
    <row r="49" spans="7:23" x14ac:dyDescent="0.25">
      <c r="G49" s="443" t="s">
        <v>341</v>
      </c>
      <c r="H49" s="444"/>
      <c r="I49" s="444"/>
      <c r="J49" s="444"/>
      <c r="K49" s="444"/>
      <c r="L49" s="444"/>
      <c r="M49" s="444"/>
      <c r="N49" s="444"/>
      <c r="O49" s="444"/>
      <c r="P49" s="444"/>
      <c r="Q49" s="444"/>
      <c r="R49" s="444"/>
      <c r="S49" s="444"/>
      <c r="T49" s="444"/>
      <c r="U49" s="444"/>
      <c r="V49" s="444"/>
      <c r="W49" s="444"/>
    </row>
    <row r="50" spans="7:23" x14ac:dyDescent="0.25">
      <c r="G50" s="445"/>
      <c r="H50" s="446"/>
      <c r="I50" s="446"/>
      <c r="J50" s="446"/>
      <c r="K50" s="446"/>
      <c r="L50" s="446"/>
      <c r="M50" s="446"/>
      <c r="N50" s="446"/>
      <c r="O50" s="446"/>
      <c r="P50" s="446"/>
      <c r="Q50" s="446"/>
      <c r="R50" s="446"/>
      <c r="S50" s="446"/>
      <c r="T50" s="446"/>
      <c r="U50" s="446"/>
      <c r="V50" s="446"/>
      <c r="W50" s="446"/>
    </row>
    <row r="51" spans="7:23" x14ac:dyDescent="0.25">
      <c r="G51" s="220"/>
      <c r="H51" s="155"/>
      <c r="I51" s="155"/>
      <c r="J51" s="221">
        <v>12</v>
      </c>
      <c r="K51" s="221">
        <v>12</v>
      </c>
      <c r="L51" s="221">
        <v>12</v>
      </c>
      <c r="M51" s="221">
        <v>12</v>
      </c>
      <c r="N51" s="221"/>
      <c r="O51" s="221"/>
      <c r="P51" s="222">
        <v>4</v>
      </c>
      <c r="Q51" s="222">
        <v>4</v>
      </c>
      <c r="R51" s="155">
        <v>4</v>
      </c>
      <c r="S51" s="156">
        <v>4</v>
      </c>
      <c r="T51" s="156">
        <v>4</v>
      </c>
      <c r="U51" s="223">
        <v>4</v>
      </c>
      <c r="V51" s="223">
        <v>4</v>
      </c>
      <c r="W51" s="223">
        <v>4</v>
      </c>
    </row>
    <row r="52" spans="7:23" ht="30" x14ac:dyDescent="0.25">
      <c r="G52" s="220"/>
      <c r="H52" s="155"/>
      <c r="I52" s="155"/>
      <c r="J52" s="447" t="s">
        <v>113</v>
      </c>
      <c r="K52" s="447"/>
      <c r="L52" s="447"/>
      <c r="M52" s="447"/>
      <c r="N52" s="224"/>
      <c r="O52" s="224"/>
      <c r="P52" s="225" t="s">
        <v>111</v>
      </c>
      <c r="Q52" s="225" t="s">
        <v>143</v>
      </c>
      <c r="R52" s="154" t="s">
        <v>322</v>
      </c>
      <c r="S52" s="226" t="s">
        <v>111</v>
      </c>
      <c r="T52" s="226" t="s">
        <v>143</v>
      </c>
      <c r="U52" s="448" t="s">
        <v>113</v>
      </c>
      <c r="V52" s="448"/>
      <c r="W52" s="448"/>
    </row>
    <row r="53" spans="7:23" x14ac:dyDescent="0.25">
      <c r="G53" s="220"/>
      <c r="H53" s="155"/>
      <c r="I53" s="155"/>
      <c r="J53" s="221" t="s">
        <v>127</v>
      </c>
      <c r="K53" s="221" t="s">
        <v>126</v>
      </c>
      <c r="L53" s="221" t="s">
        <v>128</v>
      </c>
      <c r="M53" s="221" t="s">
        <v>129</v>
      </c>
      <c r="N53" s="221"/>
      <c r="O53" s="221"/>
      <c r="P53" s="222" t="s">
        <v>127</v>
      </c>
      <c r="Q53" s="222" t="s">
        <v>129</v>
      </c>
      <c r="R53" s="155" t="s">
        <v>129</v>
      </c>
      <c r="S53" s="156" t="s">
        <v>127</v>
      </c>
      <c r="T53" s="156" t="s">
        <v>129</v>
      </c>
      <c r="U53" s="222" t="s">
        <v>127</v>
      </c>
      <c r="V53" s="222" t="s">
        <v>129</v>
      </c>
      <c r="W53" s="155" t="s">
        <v>127</v>
      </c>
    </row>
    <row r="54" spans="7:23" x14ac:dyDescent="0.25">
      <c r="G54" s="220"/>
      <c r="H54" s="155"/>
      <c r="I54" s="155"/>
      <c r="J54" s="155"/>
      <c r="K54" s="155"/>
      <c r="L54" s="155"/>
      <c r="M54" s="155"/>
      <c r="N54" s="155"/>
      <c r="O54" s="155"/>
      <c r="P54" s="155"/>
      <c r="Q54" s="155"/>
      <c r="R54" s="155" t="s">
        <v>329</v>
      </c>
      <c r="S54" s="155"/>
      <c r="T54" s="155"/>
      <c r="U54" s="155"/>
      <c r="V54" s="155"/>
      <c r="W54" s="155"/>
    </row>
    <row r="55" spans="7:23" x14ac:dyDescent="0.25">
      <c r="G55" s="227">
        <v>1</v>
      </c>
      <c r="H55" s="155" t="s">
        <v>130</v>
      </c>
      <c r="I55" s="155"/>
      <c r="J55" s="228"/>
      <c r="K55" s="223"/>
      <c r="L55" s="155"/>
      <c r="M55" s="155"/>
      <c r="N55" s="155"/>
      <c r="O55" s="155"/>
      <c r="P55" s="156" t="s">
        <v>114</v>
      </c>
      <c r="Q55" s="155" t="s">
        <v>114</v>
      </c>
      <c r="R55" s="156" t="s">
        <v>16</v>
      </c>
      <c r="S55" s="156" t="s">
        <v>114</v>
      </c>
      <c r="T55" s="155" t="s">
        <v>114</v>
      </c>
      <c r="U55" s="156">
        <v>1</v>
      </c>
      <c r="V55" s="156">
        <v>1</v>
      </c>
      <c r="W55" s="156">
        <v>1</v>
      </c>
    </row>
    <row r="56" spans="7:23" x14ac:dyDescent="0.25">
      <c r="G56" s="227">
        <v>2</v>
      </c>
      <c r="H56" s="155" t="s">
        <v>131</v>
      </c>
      <c r="I56" s="155"/>
      <c r="J56" s="228"/>
      <c r="K56" s="223"/>
      <c r="L56" s="155"/>
      <c r="M56" s="223"/>
      <c r="N56" s="223"/>
      <c r="O56" s="223"/>
      <c r="P56" s="156">
        <v>3</v>
      </c>
      <c r="Q56" s="156">
        <v>1</v>
      </c>
      <c r="R56" s="156">
        <v>1</v>
      </c>
      <c r="S56" s="156">
        <v>3</v>
      </c>
      <c r="T56" s="156">
        <v>1</v>
      </c>
      <c r="U56" s="156">
        <v>2</v>
      </c>
      <c r="V56" s="156">
        <v>2</v>
      </c>
      <c r="W56" s="156">
        <v>2</v>
      </c>
    </row>
    <row r="57" spans="7:23" x14ac:dyDescent="0.25">
      <c r="G57" s="227">
        <v>3</v>
      </c>
      <c r="H57" s="155" t="s">
        <v>132</v>
      </c>
      <c r="I57" s="155"/>
      <c r="J57" s="155"/>
      <c r="K57" s="155"/>
      <c r="L57" s="223"/>
      <c r="M57" s="228"/>
      <c r="N57" s="228"/>
      <c r="O57" s="228"/>
      <c r="P57" s="226">
        <v>4</v>
      </c>
      <c r="Q57" s="156">
        <v>2</v>
      </c>
      <c r="R57" s="156">
        <v>2</v>
      </c>
      <c r="S57" s="156">
        <v>4</v>
      </c>
      <c r="T57" s="156">
        <v>2</v>
      </c>
      <c r="U57" s="156">
        <v>3</v>
      </c>
      <c r="V57" s="156">
        <v>3</v>
      </c>
      <c r="W57" s="156">
        <v>3</v>
      </c>
    </row>
    <row r="58" spans="7:23" x14ac:dyDescent="0.25">
      <c r="G58" s="227">
        <v>4</v>
      </c>
      <c r="H58" s="155" t="s">
        <v>133</v>
      </c>
      <c r="I58" s="155"/>
      <c r="J58" s="228"/>
      <c r="K58" s="223"/>
      <c r="L58" s="223"/>
      <c r="M58" s="228"/>
      <c r="N58" s="228"/>
      <c r="O58" s="228"/>
      <c r="P58" s="156">
        <v>5</v>
      </c>
      <c r="Q58" s="156">
        <v>3</v>
      </c>
      <c r="R58" s="156">
        <v>5</v>
      </c>
      <c r="S58" s="156">
        <v>5</v>
      </c>
      <c r="T58" s="156">
        <v>3</v>
      </c>
      <c r="U58" s="156">
        <v>4</v>
      </c>
      <c r="V58" s="156">
        <v>4</v>
      </c>
      <c r="W58" s="156">
        <v>4</v>
      </c>
    </row>
    <row r="59" spans="7:23" x14ac:dyDescent="0.25">
      <c r="G59" s="227">
        <v>5</v>
      </c>
      <c r="H59" s="155" t="s">
        <v>134</v>
      </c>
      <c r="I59" s="155"/>
      <c r="J59" s="155"/>
      <c r="K59" s="155"/>
      <c r="L59" s="155"/>
      <c r="M59" s="202"/>
      <c r="N59" s="202"/>
      <c r="O59" s="202"/>
      <c r="P59" s="156">
        <v>6</v>
      </c>
      <c r="Q59" s="156">
        <v>4</v>
      </c>
      <c r="R59" s="156">
        <v>6</v>
      </c>
      <c r="S59" s="156">
        <v>6</v>
      </c>
      <c r="T59" s="156">
        <v>4</v>
      </c>
      <c r="U59" s="156">
        <v>5</v>
      </c>
      <c r="V59" s="156">
        <v>5</v>
      </c>
      <c r="W59" s="156">
        <v>5</v>
      </c>
    </row>
    <row r="60" spans="7:23" x14ac:dyDescent="0.25">
      <c r="G60" s="227">
        <v>6</v>
      </c>
      <c r="H60" s="155" t="s">
        <v>135</v>
      </c>
      <c r="I60" s="155"/>
      <c r="J60" s="49"/>
      <c r="K60" s="49"/>
      <c r="L60" s="49"/>
      <c r="M60" s="49"/>
      <c r="N60" s="49"/>
      <c r="O60" s="49"/>
      <c r="P60" s="156" t="s">
        <v>115</v>
      </c>
      <c r="Q60" s="155" t="s">
        <v>115</v>
      </c>
      <c r="R60" s="156" t="s">
        <v>16</v>
      </c>
      <c r="S60" s="156" t="s">
        <v>115</v>
      </c>
      <c r="T60" s="155" t="s">
        <v>115</v>
      </c>
      <c r="U60" s="156">
        <v>6</v>
      </c>
      <c r="V60" s="156">
        <v>6</v>
      </c>
      <c r="W60" s="156">
        <v>6</v>
      </c>
    </row>
    <row r="61" spans="7:23" x14ac:dyDescent="0.25">
      <c r="G61" s="220"/>
      <c r="H61" s="155"/>
      <c r="I61" s="155"/>
      <c r="J61" s="155"/>
      <c r="K61" s="155"/>
      <c r="L61" s="155"/>
      <c r="M61" s="155"/>
      <c r="N61" s="155"/>
      <c r="O61" s="155"/>
      <c r="P61" s="155"/>
      <c r="Q61" s="155"/>
      <c r="R61" s="155"/>
      <c r="S61" s="155"/>
      <c r="T61" s="155"/>
      <c r="U61" s="155"/>
      <c r="V61" s="155"/>
      <c r="W61" s="155"/>
    </row>
    <row r="62" spans="7:23" x14ac:dyDescent="0.25">
      <c r="G62" s="220"/>
      <c r="H62" s="155"/>
      <c r="I62" s="155"/>
      <c r="J62" s="155"/>
      <c r="K62" s="155"/>
      <c r="L62" s="155"/>
      <c r="M62" s="155"/>
      <c r="N62" s="155"/>
      <c r="O62" s="155"/>
      <c r="P62" s="155"/>
      <c r="Q62" s="155"/>
      <c r="R62" s="155"/>
      <c r="S62" s="155"/>
      <c r="T62" s="155"/>
      <c r="U62" s="155"/>
      <c r="V62" s="155"/>
      <c r="W62" s="155"/>
    </row>
    <row r="63" spans="7:23" x14ac:dyDescent="0.25">
      <c r="G63" s="220"/>
      <c r="H63" s="155" t="s">
        <v>124</v>
      </c>
      <c r="I63" s="155"/>
      <c r="J63" s="155" t="s">
        <v>136</v>
      </c>
      <c r="K63" s="155" t="s">
        <v>136</v>
      </c>
      <c r="L63" s="155" t="s">
        <v>137</v>
      </c>
      <c r="M63" s="155" t="s">
        <v>136</v>
      </c>
      <c r="N63" s="155"/>
      <c r="O63" s="155"/>
      <c r="P63" s="155" t="s">
        <v>156</v>
      </c>
      <c r="Q63" s="155" t="s">
        <v>157</v>
      </c>
      <c r="R63" s="155" t="s">
        <v>230</v>
      </c>
      <c r="S63" s="155" t="s">
        <v>156</v>
      </c>
      <c r="T63" s="155" t="s">
        <v>157</v>
      </c>
      <c r="U63" s="155" t="s">
        <v>136</v>
      </c>
      <c r="V63" s="155" t="s">
        <v>138</v>
      </c>
      <c r="W63" s="155" t="s">
        <v>136</v>
      </c>
    </row>
    <row r="64" spans="7:23" x14ac:dyDescent="0.25">
      <c r="G64" s="220"/>
      <c r="H64" s="155"/>
      <c r="I64" s="155"/>
      <c r="J64" s="155"/>
      <c r="K64" s="155"/>
      <c r="L64" s="155"/>
      <c r="M64" s="155"/>
      <c r="N64" s="155"/>
      <c r="O64" s="155"/>
      <c r="P64" s="155"/>
      <c r="Q64" s="155"/>
      <c r="R64" s="155"/>
      <c r="S64" s="155"/>
      <c r="T64" s="155"/>
      <c r="U64" s="155"/>
      <c r="V64" s="155"/>
      <c r="W64" s="155"/>
    </row>
    <row r="65" spans="7:23" x14ac:dyDescent="0.25">
      <c r="G65" s="220"/>
      <c r="H65" s="155" t="s">
        <v>116</v>
      </c>
      <c r="I65" s="155"/>
      <c r="J65" s="155" t="s">
        <v>120</v>
      </c>
      <c r="K65" s="155" t="s">
        <v>120</v>
      </c>
      <c r="L65" s="155" t="s">
        <v>120</v>
      </c>
      <c r="M65" s="155" t="s">
        <v>120</v>
      </c>
      <c r="N65" s="155"/>
      <c r="O65" s="155"/>
      <c r="P65" s="155" t="s">
        <v>120</v>
      </c>
      <c r="Q65" s="155" t="s">
        <v>120</v>
      </c>
      <c r="R65" s="155" t="s">
        <v>120</v>
      </c>
      <c r="S65" s="155" t="s">
        <v>121</v>
      </c>
      <c r="T65" s="155" t="s">
        <v>121</v>
      </c>
      <c r="U65" s="155" t="s">
        <v>121</v>
      </c>
      <c r="V65" s="155" t="s">
        <v>121</v>
      </c>
      <c r="W65" s="155" t="s">
        <v>121</v>
      </c>
    </row>
    <row r="66" spans="7:23" x14ac:dyDescent="0.25">
      <c r="G66" s="220"/>
      <c r="H66" s="155" t="s">
        <v>117</v>
      </c>
      <c r="I66" s="155"/>
      <c r="J66" s="157" t="s">
        <v>120</v>
      </c>
      <c r="K66" s="157" t="s">
        <v>120</v>
      </c>
      <c r="L66" s="157" t="s">
        <v>120</v>
      </c>
      <c r="M66" s="157" t="s">
        <v>120</v>
      </c>
      <c r="N66" s="157"/>
      <c r="O66" s="157"/>
      <c r="P66" s="157" t="s">
        <v>120</v>
      </c>
      <c r="Q66" s="157" t="s">
        <v>120</v>
      </c>
      <c r="R66" s="157" t="s">
        <v>120</v>
      </c>
      <c r="S66" s="157" t="s">
        <v>121</v>
      </c>
      <c r="T66" s="157" t="s">
        <v>121</v>
      </c>
      <c r="U66" s="155" t="s">
        <v>121</v>
      </c>
      <c r="V66" s="155" t="s">
        <v>121</v>
      </c>
      <c r="W66" s="155" t="s">
        <v>121</v>
      </c>
    </row>
    <row r="67" spans="7:23" x14ac:dyDescent="0.25">
      <c r="G67" s="220"/>
      <c r="H67" s="155" t="s">
        <v>118</v>
      </c>
      <c r="I67" s="155"/>
      <c r="J67" s="155" t="s">
        <v>120</v>
      </c>
      <c r="K67" s="155" t="s">
        <v>120</v>
      </c>
      <c r="L67" s="155" t="s">
        <v>120</v>
      </c>
      <c r="M67" s="155" t="s">
        <v>120</v>
      </c>
      <c r="N67" s="155"/>
      <c r="O67" s="155"/>
      <c r="P67" s="155" t="s">
        <v>120</v>
      </c>
      <c r="Q67" s="155" t="s">
        <v>120</v>
      </c>
      <c r="R67" s="155" t="s">
        <v>120</v>
      </c>
      <c r="S67" s="155" t="s">
        <v>121</v>
      </c>
      <c r="T67" s="155" t="s">
        <v>121</v>
      </c>
      <c r="U67" s="155" t="s">
        <v>121</v>
      </c>
      <c r="V67" s="155" t="s">
        <v>121</v>
      </c>
      <c r="W67" s="155" t="s">
        <v>121</v>
      </c>
    </row>
    <row r="68" spans="7:23" x14ac:dyDescent="0.25">
      <c r="G68" s="220"/>
      <c r="H68" s="155" t="s">
        <v>119</v>
      </c>
      <c r="I68" s="155"/>
      <c r="J68" s="155" t="s">
        <v>120</v>
      </c>
      <c r="K68" s="155" t="s">
        <v>120</v>
      </c>
      <c r="L68" s="155" t="s">
        <v>120</v>
      </c>
      <c r="M68" s="155" t="s">
        <v>120</v>
      </c>
      <c r="N68" s="155"/>
      <c r="O68" s="155"/>
      <c r="P68" s="155" t="s">
        <v>120</v>
      </c>
      <c r="Q68" s="155" t="s">
        <v>120</v>
      </c>
      <c r="R68" s="155" t="s">
        <v>120</v>
      </c>
      <c r="S68" s="157" t="s">
        <v>121</v>
      </c>
      <c r="T68" s="157" t="s">
        <v>121</v>
      </c>
      <c r="U68" s="155" t="s">
        <v>121</v>
      </c>
      <c r="V68" s="155" t="s">
        <v>121</v>
      </c>
      <c r="W68" s="155" t="s">
        <v>121</v>
      </c>
    </row>
    <row r="69" spans="7:23" x14ac:dyDescent="0.25">
      <c r="G69" s="220"/>
      <c r="H69" s="155"/>
      <c r="I69" s="155"/>
      <c r="J69" s="155"/>
      <c r="K69" s="155"/>
      <c r="L69" s="155"/>
      <c r="M69" s="155"/>
      <c r="N69" s="155"/>
      <c r="O69" s="155"/>
      <c r="P69" s="155"/>
      <c r="Q69" s="155"/>
      <c r="R69" s="155"/>
      <c r="S69" s="155"/>
      <c r="T69" s="155"/>
      <c r="U69" s="155"/>
      <c r="V69" s="155"/>
      <c r="W69" s="155"/>
    </row>
    <row r="70" spans="7:23" x14ac:dyDescent="0.25">
      <c r="G70" s="220"/>
      <c r="H70" s="155" t="s">
        <v>139</v>
      </c>
      <c r="I70" s="155"/>
      <c r="J70" s="157" t="s">
        <v>120</v>
      </c>
      <c r="K70" s="157" t="s">
        <v>120</v>
      </c>
      <c r="L70" s="157" t="s">
        <v>120</v>
      </c>
      <c r="M70" s="157" t="s">
        <v>120</v>
      </c>
      <c r="N70" s="157"/>
      <c r="O70" s="157"/>
      <c r="P70" s="157" t="s">
        <v>120</v>
      </c>
      <c r="Q70" s="157" t="s">
        <v>120</v>
      </c>
      <c r="R70" s="157" t="s">
        <v>120</v>
      </c>
      <c r="S70" s="157" t="s">
        <v>120</v>
      </c>
      <c r="T70" s="157" t="s">
        <v>120</v>
      </c>
      <c r="U70" s="155" t="s">
        <v>121</v>
      </c>
      <c r="V70" s="155" t="s">
        <v>121</v>
      </c>
      <c r="W70" s="155" t="s">
        <v>121</v>
      </c>
    </row>
    <row r="71" spans="7:23" x14ac:dyDescent="0.25">
      <c r="G71" s="220"/>
      <c r="H71" s="155"/>
      <c r="I71" s="155"/>
      <c r="J71" s="155"/>
      <c r="K71" s="155"/>
      <c r="L71" s="155"/>
      <c r="M71" s="155"/>
      <c r="N71" s="155"/>
      <c r="O71" s="155"/>
      <c r="P71" s="155"/>
      <c r="Q71" s="155"/>
      <c r="R71" s="155"/>
      <c r="S71" s="155"/>
      <c r="T71" s="155"/>
      <c r="U71" s="155"/>
      <c r="V71" s="155"/>
      <c r="W71" s="155"/>
    </row>
    <row r="72" spans="7:23" x14ac:dyDescent="0.25">
      <c r="G72" s="220"/>
      <c r="H72" s="155" t="s">
        <v>140</v>
      </c>
      <c r="I72" s="155"/>
      <c r="J72" s="157" t="s">
        <v>120</v>
      </c>
      <c r="K72" s="157" t="s">
        <v>120</v>
      </c>
      <c r="L72" s="157" t="s">
        <v>120</v>
      </c>
      <c r="M72" s="157" t="s">
        <v>120</v>
      </c>
      <c r="N72" s="157"/>
      <c r="O72" s="157"/>
      <c r="P72" s="157" t="s">
        <v>120</v>
      </c>
      <c r="Q72" s="157" t="s">
        <v>120</v>
      </c>
      <c r="R72" s="157" t="s">
        <v>120</v>
      </c>
      <c r="S72" s="157" t="s">
        <v>120</v>
      </c>
      <c r="T72" s="157" t="s">
        <v>120</v>
      </c>
      <c r="U72" s="155" t="s">
        <v>121</v>
      </c>
      <c r="V72" s="155" t="s">
        <v>121</v>
      </c>
      <c r="W72" s="155" t="s">
        <v>121</v>
      </c>
    </row>
    <row r="73" spans="7:23" x14ac:dyDescent="0.25">
      <c r="G73" s="220"/>
      <c r="H73" s="155" t="s">
        <v>141</v>
      </c>
      <c r="I73" s="155"/>
      <c r="J73" s="157" t="s">
        <v>120</v>
      </c>
      <c r="K73" s="157" t="s">
        <v>120</v>
      </c>
      <c r="L73" s="157" t="s">
        <v>120</v>
      </c>
      <c r="M73" s="157" t="s">
        <v>120</v>
      </c>
      <c r="N73" s="157"/>
      <c r="O73" s="157"/>
      <c r="P73" s="157" t="s">
        <v>120</v>
      </c>
      <c r="Q73" s="157" t="s">
        <v>120</v>
      </c>
      <c r="R73" s="157" t="s">
        <v>120</v>
      </c>
      <c r="S73" s="157" t="s">
        <v>120</v>
      </c>
      <c r="T73" s="157" t="s">
        <v>120</v>
      </c>
      <c r="U73" s="155" t="s">
        <v>121</v>
      </c>
      <c r="V73" s="155" t="s">
        <v>121</v>
      </c>
      <c r="W73" s="155" t="s">
        <v>121</v>
      </c>
    </row>
    <row r="74" spans="7:23" x14ac:dyDescent="0.25">
      <c r="G74" s="220"/>
      <c r="H74" s="155" t="s">
        <v>142</v>
      </c>
      <c r="I74" s="155"/>
      <c r="J74" s="157" t="s">
        <v>120</v>
      </c>
      <c r="K74" s="157" t="s">
        <v>120</v>
      </c>
      <c r="L74" s="157" t="s">
        <v>120</v>
      </c>
      <c r="M74" s="157" t="s">
        <v>120</v>
      </c>
      <c r="N74" s="157"/>
      <c r="O74" s="157"/>
      <c r="P74" s="157" t="s">
        <v>120</v>
      </c>
      <c r="Q74" s="157" t="s">
        <v>120</v>
      </c>
      <c r="R74" s="157" t="s">
        <v>120</v>
      </c>
      <c r="S74" s="157" t="s">
        <v>120</v>
      </c>
      <c r="T74" s="157" t="s">
        <v>120</v>
      </c>
      <c r="U74" s="155" t="s">
        <v>121</v>
      </c>
      <c r="V74" s="155" t="s">
        <v>121</v>
      </c>
      <c r="W74" s="155" t="s">
        <v>121</v>
      </c>
    </row>
    <row r="75" spans="7:23" x14ac:dyDescent="0.25">
      <c r="G75" s="220"/>
      <c r="H75" s="155"/>
      <c r="I75" s="155"/>
      <c r="J75" s="155"/>
      <c r="K75" s="155"/>
      <c r="L75" s="155"/>
      <c r="M75" s="155"/>
      <c r="N75" s="155"/>
      <c r="O75" s="155"/>
      <c r="P75" s="155"/>
      <c r="Q75" s="155"/>
      <c r="R75" s="155"/>
      <c r="S75" s="155"/>
      <c r="T75" s="155"/>
      <c r="U75" s="155"/>
      <c r="V75" s="155"/>
      <c r="W75" s="155"/>
    </row>
    <row r="76" spans="7:23" x14ac:dyDescent="0.25">
      <c r="G76" s="220"/>
      <c r="H76" s="155"/>
      <c r="I76" s="155"/>
      <c r="J76" s="155"/>
      <c r="K76" s="155"/>
      <c r="L76" s="155"/>
      <c r="M76" s="155"/>
      <c r="N76" s="155"/>
      <c r="O76" s="155"/>
      <c r="P76" s="155"/>
      <c r="Q76" s="155"/>
      <c r="R76" s="155"/>
      <c r="S76" s="155"/>
      <c r="T76" s="155"/>
      <c r="U76" s="155"/>
      <c r="V76" s="155"/>
      <c r="W76" s="155"/>
    </row>
    <row r="77" spans="7:23" x14ac:dyDescent="0.25">
      <c r="G77" s="220"/>
      <c r="H77" s="155" t="s">
        <v>152</v>
      </c>
      <c r="I77" s="155"/>
      <c r="J77" s="155" t="s">
        <v>120</v>
      </c>
      <c r="K77" s="155" t="s">
        <v>120</v>
      </c>
      <c r="L77" s="155" t="s">
        <v>120</v>
      </c>
      <c r="M77" s="155" t="s">
        <v>120</v>
      </c>
      <c r="N77" s="155"/>
      <c r="O77" s="155"/>
      <c r="P77" s="158" t="s">
        <v>120</v>
      </c>
      <c r="Q77" s="158" t="s">
        <v>120</v>
      </c>
      <c r="R77" s="158" t="s">
        <v>120</v>
      </c>
      <c r="S77" s="158" t="s">
        <v>120</v>
      </c>
      <c r="T77" s="158" t="s">
        <v>120</v>
      </c>
      <c r="U77" s="449" t="s">
        <v>153</v>
      </c>
      <c r="V77" s="449"/>
      <c r="W77" s="158" t="s">
        <v>154</v>
      </c>
    </row>
    <row r="78" spans="7:23" x14ac:dyDescent="0.25">
      <c r="G78" s="220"/>
      <c r="H78" s="155"/>
      <c r="I78" s="155"/>
      <c r="J78" s="155"/>
      <c r="K78" s="155"/>
      <c r="L78" s="155"/>
      <c r="M78" s="155"/>
      <c r="N78" s="155"/>
      <c r="O78" s="155"/>
      <c r="P78" s="155"/>
      <c r="Q78" s="155"/>
      <c r="R78" s="155"/>
      <c r="S78" s="155"/>
      <c r="T78" s="155"/>
      <c r="U78" s="155"/>
      <c r="V78" s="155"/>
      <c r="W78" s="155"/>
    </row>
    <row r="79" spans="7:23" ht="15.75" thickBot="1" x14ac:dyDescent="0.3">
      <c r="G79" s="229"/>
      <c r="H79" s="230"/>
      <c r="I79" s="230"/>
      <c r="J79" s="230"/>
      <c r="K79" s="230"/>
      <c r="L79" s="230"/>
      <c r="M79" s="230"/>
      <c r="N79" s="230"/>
      <c r="O79" s="230"/>
      <c r="P79" s="460" t="s">
        <v>158</v>
      </c>
      <c r="Q79" s="460"/>
      <c r="R79" s="159"/>
      <c r="S79" s="460" t="s">
        <v>182</v>
      </c>
      <c r="T79" s="460"/>
      <c r="U79" s="442" t="s">
        <v>180</v>
      </c>
      <c r="V79" s="442"/>
      <c r="W79" s="442"/>
    </row>
    <row r="81" spans="3:28" s="200" customFormat="1" x14ac:dyDescent="0.25">
      <c r="C81" s="151"/>
      <c r="P81" s="450" t="s">
        <v>534</v>
      </c>
      <c r="Q81" s="450"/>
      <c r="R81" s="450"/>
    </row>
    <row r="82" spans="3:28" s="200" customFormat="1" ht="33.75" customHeight="1" x14ac:dyDescent="0.25">
      <c r="C82" s="151"/>
      <c r="N82" s="461"/>
      <c r="O82" s="461"/>
      <c r="P82" s="450" t="s">
        <v>535</v>
      </c>
      <c r="Q82" s="450"/>
      <c r="R82" s="450"/>
      <c r="S82" s="461" t="s">
        <v>558</v>
      </c>
      <c r="T82" s="461"/>
    </row>
    <row r="83" spans="3:28" s="198" customFormat="1" x14ac:dyDescent="0.25">
      <c r="C83" s="150"/>
      <c r="I83" s="205"/>
      <c r="R83" s="201"/>
      <c r="S83" s="201"/>
    </row>
    <row r="84" spans="3:28" s="198" customFormat="1" x14ac:dyDescent="0.25">
      <c r="C84" s="150"/>
      <c r="I84" s="205"/>
      <c r="R84" s="201"/>
      <c r="S84" s="201"/>
    </row>
    <row r="85" spans="3:28" s="198" customFormat="1" ht="15" customHeight="1" thickBot="1" x14ac:dyDescent="0.3">
      <c r="C85" s="150"/>
      <c r="E85" s="211"/>
      <c r="F85" s="211"/>
      <c r="G85" s="211"/>
      <c r="H85" s="211"/>
      <c r="I85" s="211"/>
      <c r="J85" s="462" t="s">
        <v>547</v>
      </c>
      <c r="K85" s="462"/>
      <c r="L85" s="462"/>
      <c r="M85" s="462"/>
      <c r="N85" s="456" t="s">
        <v>548</v>
      </c>
      <c r="O85" s="456"/>
      <c r="P85" s="248" t="s">
        <v>614</v>
      </c>
      <c r="Q85" s="463" t="s">
        <v>549</v>
      </c>
      <c r="R85" s="463"/>
      <c r="S85" s="459" t="s">
        <v>547</v>
      </c>
      <c r="T85" s="459"/>
      <c r="U85" s="266" t="s">
        <v>547</v>
      </c>
      <c r="V85" s="459" t="s">
        <v>552</v>
      </c>
      <c r="W85" s="459"/>
      <c r="X85" s="456" t="s">
        <v>551</v>
      </c>
      <c r="Y85" s="456"/>
      <c r="Z85" s="456"/>
    </row>
    <row r="86" spans="3:28" s="198" customFormat="1" x14ac:dyDescent="0.25">
      <c r="C86" s="150"/>
      <c r="E86" s="211"/>
      <c r="F86" s="211"/>
      <c r="G86" s="211"/>
      <c r="H86" s="211"/>
      <c r="I86" s="238"/>
      <c r="J86" s="206">
        <v>12</v>
      </c>
      <c r="K86" s="91">
        <v>12</v>
      </c>
      <c r="L86" s="207">
        <v>12</v>
      </c>
      <c r="M86" s="242">
        <v>12</v>
      </c>
      <c r="N86" s="206">
        <v>1</v>
      </c>
      <c r="O86" s="207">
        <v>1</v>
      </c>
      <c r="P86" s="242">
        <v>1</v>
      </c>
      <c r="Q86" s="206">
        <v>3</v>
      </c>
      <c r="R86" s="207">
        <v>1</v>
      </c>
      <c r="S86" s="262">
        <v>3</v>
      </c>
      <c r="T86" s="207">
        <v>1</v>
      </c>
      <c r="U86" s="242">
        <v>3</v>
      </c>
      <c r="V86" s="206">
        <v>2</v>
      </c>
      <c r="W86" s="207">
        <v>1</v>
      </c>
      <c r="X86" s="206">
        <v>1</v>
      </c>
      <c r="Y86" s="207">
        <v>1</v>
      </c>
      <c r="Z86" s="242">
        <v>0</v>
      </c>
      <c r="AB86" s="198">
        <f>SUM(J86:Z86)</f>
        <v>67</v>
      </c>
    </row>
    <row r="87" spans="3:28" s="198" customFormat="1" ht="63" customHeight="1" x14ac:dyDescent="0.25">
      <c r="C87" s="150"/>
      <c r="E87" s="211"/>
      <c r="F87" s="211"/>
      <c r="G87" s="211"/>
      <c r="H87" s="211"/>
      <c r="I87" s="238"/>
      <c r="J87" s="172"/>
      <c r="K87" s="211"/>
      <c r="L87" s="93"/>
      <c r="M87" s="243"/>
      <c r="N87" s="457" t="s">
        <v>556</v>
      </c>
      <c r="O87" s="458"/>
      <c r="P87" s="249" t="s">
        <v>557</v>
      </c>
      <c r="Q87" s="251" t="s">
        <v>536</v>
      </c>
      <c r="R87" s="252" t="s">
        <v>550</v>
      </c>
      <c r="S87" s="263" t="s">
        <v>538</v>
      </c>
      <c r="T87" s="264" t="s">
        <v>538</v>
      </c>
      <c r="U87" s="267" t="s">
        <v>540</v>
      </c>
      <c r="V87" s="270" t="s">
        <v>540</v>
      </c>
      <c r="W87" s="271" t="s">
        <v>540</v>
      </c>
      <c r="X87" s="272" t="s">
        <v>541</v>
      </c>
      <c r="Y87" s="273"/>
      <c r="Z87" s="276"/>
    </row>
    <row r="88" spans="3:28" s="198" customFormat="1" x14ac:dyDescent="0.25">
      <c r="C88" s="150"/>
      <c r="E88" s="211"/>
      <c r="F88" s="211"/>
      <c r="G88" s="211"/>
      <c r="H88" s="211"/>
      <c r="I88" s="238"/>
      <c r="J88" s="172" t="s">
        <v>127</v>
      </c>
      <c r="K88" s="211" t="s">
        <v>126</v>
      </c>
      <c r="L88" s="93" t="s">
        <v>128</v>
      </c>
      <c r="M88" s="243" t="s">
        <v>129</v>
      </c>
      <c r="N88" s="172" t="s">
        <v>544</v>
      </c>
      <c r="O88" s="93" t="s">
        <v>543</v>
      </c>
      <c r="P88" s="243" t="s">
        <v>127</v>
      </c>
      <c r="Q88" s="172" t="s">
        <v>129</v>
      </c>
      <c r="R88" s="93" t="s">
        <v>537</v>
      </c>
      <c r="S88" s="172" t="s">
        <v>127</v>
      </c>
      <c r="T88" s="93" t="s">
        <v>128</v>
      </c>
      <c r="U88" s="243" t="s">
        <v>127</v>
      </c>
      <c r="V88" s="172" t="s">
        <v>129</v>
      </c>
      <c r="W88" s="93" t="s">
        <v>537</v>
      </c>
      <c r="X88" s="172" t="s">
        <v>542</v>
      </c>
      <c r="Y88" s="93" t="s">
        <v>543</v>
      </c>
      <c r="Z88" s="243" t="s">
        <v>543</v>
      </c>
    </row>
    <row r="89" spans="3:28" x14ac:dyDescent="0.25">
      <c r="E89" s="211" t="s">
        <v>127</v>
      </c>
      <c r="F89" s="211" t="s">
        <v>129</v>
      </c>
      <c r="G89" s="211" t="s">
        <v>537</v>
      </c>
      <c r="H89" s="56" t="s">
        <v>532</v>
      </c>
      <c r="I89" s="239"/>
      <c r="J89" s="172"/>
      <c r="K89" s="211"/>
      <c r="L89" s="93"/>
      <c r="M89" s="243"/>
      <c r="N89" s="172"/>
      <c r="O89" s="93"/>
      <c r="P89" s="243"/>
      <c r="Q89" s="172"/>
      <c r="R89" s="93"/>
      <c r="S89" s="172"/>
      <c r="T89" s="93"/>
      <c r="U89" s="243"/>
      <c r="V89" s="172"/>
      <c r="W89" s="93"/>
      <c r="X89" s="172"/>
      <c r="Y89" s="108"/>
      <c r="Z89" s="244"/>
    </row>
    <row r="90" spans="3:28" x14ac:dyDescent="0.25">
      <c r="E90" s="44"/>
      <c r="F90" s="210"/>
      <c r="G90" s="211"/>
      <c r="H90" s="56">
        <v>1</v>
      </c>
      <c r="I90" s="239"/>
      <c r="J90" s="172" t="s">
        <v>88</v>
      </c>
      <c r="K90" s="211" t="s">
        <v>88</v>
      </c>
      <c r="L90" s="93"/>
      <c r="M90" s="243"/>
      <c r="N90" s="172"/>
      <c r="O90" s="93"/>
      <c r="P90" s="243" t="s">
        <v>88</v>
      </c>
      <c r="Q90" s="253" t="s">
        <v>380</v>
      </c>
      <c r="R90" s="93"/>
      <c r="S90" s="254" t="s">
        <v>83</v>
      </c>
      <c r="T90" s="93"/>
      <c r="U90" s="268" t="s">
        <v>380</v>
      </c>
      <c r="V90" s="172"/>
      <c r="W90" s="93"/>
      <c r="X90" s="253" t="s">
        <v>380</v>
      </c>
      <c r="Y90" s="108"/>
      <c r="Z90" s="244"/>
    </row>
    <row r="91" spans="3:28" x14ac:dyDescent="0.25">
      <c r="D91" s="198"/>
      <c r="E91" s="44"/>
      <c r="F91" s="45"/>
      <c r="G91" s="211"/>
      <c r="H91" s="56">
        <v>2</v>
      </c>
      <c r="I91" s="239"/>
      <c r="J91" s="172" t="s">
        <v>88</v>
      </c>
      <c r="K91" s="211" t="s">
        <v>88</v>
      </c>
      <c r="L91" s="93"/>
      <c r="M91" s="243" t="s">
        <v>88</v>
      </c>
      <c r="N91" s="172"/>
      <c r="O91" s="93"/>
      <c r="P91" s="243" t="s">
        <v>88</v>
      </c>
      <c r="Q91" s="253" t="s">
        <v>380</v>
      </c>
      <c r="R91" s="93"/>
      <c r="S91" s="254" t="s">
        <v>83</v>
      </c>
      <c r="T91" s="93"/>
      <c r="U91" s="268" t="s">
        <v>380</v>
      </c>
      <c r="V91" s="254" t="s">
        <v>380</v>
      </c>
      <c r="W91" s="93"/>
      <c r="X91" s="172"/>
      <c r="Y91" s="108"/>
      <c r="Z91" s="244"/>
    </row>
    <row r="92" spans="3:28" x14ac:dyDescent="0.25">
      <c r="D92" s="198"/>
      <c r="E92" s="210"/>
      <c r="F92" s="44"/>
      <c r="G92" s="211"/>
      <c r="H92" s="56">
        <v>3</v>
      </c>
      <c r="I92" s="239"/>
      <c r="J92" s="172"/>
      <c r="K92" s="211"/>
      <c r="L92" s="93" t="s">
        <v>88</v>
      </c>
      <c r="M92" s="243" t="s">
        <v>88</v>
      </c>
      <c r="N92" s="172"/>
      <c r="O92" s="93"/>
      <c r="P92" s="243"/>
      <c r="Q92" s="253" t="s">
        <v>380</v>
      </c>
      <c r="R92" s="93"/>
      <c r="S92" s="254" t="s">
        <v>83</v>
      </c>
      <c r="T92" s="256" t="s">
        <v>83</v>
      </c>
      <c r="U92" s="268" t="s">
        <v>380</v>
      </c>
      <c r="V92" s="254" t="s">
        <v>380</v>
      </c>
      <c r="W92" s="93"/>
      <c r="X92" s="172"/>
      <c r="Y92" s="108"/>
      <c r="Z92" s="244"/>
    </row>
    <row r="93" spans="3:28" x14ac:dyDescent="0.25">
      <c r="D93" s="202"/>
      <c r="E93" s="44"/>
      <c r="F93" s="44"/>
      <c r="G93" s="211"/>
      <c r="H93" s="56">
        <v>4</v>
      </c>
      <c r="I93" s="239"/>
      <c r="J93" s="172" t="s">
        <v>88</v>
      </c>
      <c r="K93" s="211" t="s">
        <v>88</v>
      </c>
      <c r="L93" s="93" t="s">
        <v>88</v>
      </c>
      <c r="M93" s="244"/>
      <c r="N93" s="172"/>
      <c r="O93" s="93"/>
      <c r="P93" s="243"/>
      <c r="Q93" s="172"/>
      <c r="R93" s="93"/>
      <c r="S93" s="254" t="s">
        <v>83</v>
      </c>
      <c r="T93" s="256" t="s">
        <v>83</v>
      </c>
      <c r="U93" s="268" t="s">
        <v>380</v>
      </c>
      <c r="V93" s="254" t="s">
        <v>380</v>
      </c>
      <c r="W93" s="93"/>
      <c r="X93" s="172"/>
      <c r="Y93" s="108"/>
      <c r="Z93" s="244"/>
    </row>
    <row r="94" spans="3:28" x14ac:dyDescent="0.25">
      <c r="D94" s="202"/>
      <c r="E94" s="210"/>
      <c r="F94" s="211"/>
      <c r="G94" s="211"/>
      <c r="H94" s="56">
        <v>5</v>
      </c>
      <c r="I94" s="239"/>
      <c r="J94" s="172"/>
      <c r="K94" s="211"/>
      <c r="L94" s="93"/>
      <c r="M94" s="245" t="s">
        <v>88</v>
      </c>
      <c r="N94" s="172" t="s">
        <v>88</v>
      </c>
      <c r="O94" s="93"/>
      <c r="P94" s="243"/>
      <c r="Q94" s="254" t="s">
        <v>83</v>
      </c>
      <c r="R94" s="255"/>
      <c r="S94" s="172"/>
      <c r="T94" s="93"/>
      <c r="U94" s="243"/>
      <c r="V94" s="254" t="s">
        <v>380</v>
      </c>
      <c r="W94" s="256" t="s">
        <v>380</v>
      </c>
      <c r="X94" s="172"/>
      <c r="Y94" s="108"/>
      <c r="Z94" s="244"/>
    </row>
    <row r="95" spans="3:28" x14ac:dyDescent="0.25">
      <c r="D95" s="202"/>
      <c r="E95" s="46"/>
      <c r="F95" s="46"/>
      <c r="G95" s="44"/>
      <c r="H95" s="56">
        <v>6</v>
      </c>
      <c r="I95" s="239"/>
      <c r="J95" s="172"/>
      <c r="K95" s="211"/>
      <c r="L95" s="93"/>
      <c r="M95" s="243"/>
      <c r="N95" s="172"/>
      <c r="O95" s="93" t="s">
        <v>88</v>
      </c>
      <c r="P95" s="243"/>
      <c r="Q95" s="254" t="s">
        <v>83</v>
      </c>
      <c r="R95" s="256" t="s">
        <v>83</v>
      </c>
      <c r="S95" s="172"/>
      <c r="T95" s="93"/>
      <c r="U95" s="243"/>
      <c r="V95" s="172"/>
      <c r="W95" s="256" t="s">
        <v>380</v>
      </c>
      <c r="X95" s="172"/>
      <c r="Y95" s="108" t="s">
        <v>546</v>
      </c>
      <c r="Z95" s="244" t="s">
        <v>545</v>
      </c>
    </row>
    <row r="96" spans="3:28" x14ac:dyDescent="0.25">
      <c r="E96" s="211"/>
      <c r="F96" s="211"/>
      <c r="G96" s="211"/>
      <c r="H96" s="56"/>
      <c r="I96" s="239"/>
      <c r="J96" s="172"/>
      <c r="K96" s="211"/>
      <c r="L96" s="93"/>
      <c r="M96" s="243"/>
      <c r="N96" s="172"/>
      <c r="O96" s="93"/>
      <c r="P96" s="243"/>
      <c r="Q96" s="172"/>
      <c r="R96" s="93"/>
      <c r="S96" s="172"/>
      <c r="T96" s="93"/>
      <c r="U96" s="243"/>
      <c r="V96" s="172"/>
      <c r="W96" s="256"/>
      <c r="X96" s="172"/>
      <c r="Y96" s="108"/>
      <c r="Z96" s="244"/>
    </row>
    <row r="97" spans="4:26" x14ac:dyDescent="0.25">
      <c r="E97" s="211"/>
      <c r="F97" s="211"/>
      <c r="G97" s="211"/>
      <c r="H97" s="56" t="s">
        <v>152</v>
      </c>
      <c r="I97" s="239"/>
      <c r="J97" s="172"/>
      <c r="K97" s="211"/>
      <c r="L97" s="93"/>
      <c r="M97" s="243"/>
      <c r="N97" s="172"/>
      <c r="O97" s="93"/>
      <c r="P97" s="250"/>
      <c r="Q97" s="196"/>
      <c r="R97" s="257"/>
      <c r="S97" s="172"/>
      <c r="T97" s="93"/>
      <c r="U97" s="243"/>
      <c r="V97" s="172"/>
      <c r="W97" s="256"/>
      <c r="X97" s="172"/>
      <c r="Y97" s="108"/>
      <c r="Z97" s="244"/>
    </row>
    <row r="98" spans="4:26" x14ac:dyDescent="0.25">
      <c r="E98" s="211" t="s">
        <v>127</v>
      </c>
      <c r="F98" s="211" t="s">
        <v>129</v>
      </c>
      <c r="G98" s="211"/>
      <c r="H98" s="56" t="s">
        <v>114</v>
      </c>
      <c r="I98" s="239"/>
      <c r="J98" s="172"/>
      <c r="K98" s="211"/>
      <c r="L98" s="93"/>
      <c r="M98" s="243"/>
      <c r="N98" s="172"/>
      <c r="O98" s="93"/>
      <c r="P98" s="250"/>
      <c r="Q98" s="196"/>
      <c r="R98" s="257"/>
      <c r="S98" s="172"/>
      <c r="T98" s="93"/>
      <c r="U98" s="269" t="s">
        <v>576</v>
      </c>
      <c r="V98" s="172"/>
      <c r="W98" s="256"/>
      <c r="X98" s="258" t="s">
        <v>576</v>
      </c>
      <c r="Y98" s="108"/>
      <c r="Z98" s="244"/>
    </row>
    <row r="99" spans="4:26" x14ac:dyDescent="0.25">
      <c r="E99" s="44"/>
      <c r="F99" s="210"/>
      <c r="G99" s="211"/>
      <c r="H99" s="56">
        <v>1</v>
      </c>
      <c r="I99" s="239"/>
      <c r="J99" s="240" t="s">
        <v>562</v>
      </c>
      <c r="K99" s="134" t="s">
        <v>562</v>
      </c>
      <c r="L99" s="93"/>
      <c r="M99" s="243"/>
      <c r="N99" s="172"/>
      <c r="O99" s="93"/>
      <c r="P99" s="246" t="s">
        <v>562</v>
      </c>
      <c r="Q99" s="258" t="s">
        <v>559</v>
      </c>
      <c r="R99" s="257"/>
      <c r="S99" s="172"/>
      <c r="T99" s="93"/>
      <c r="U99" s="269" t="s">
        <v>559</v>
      </c>
      <c r="V99" s="172"/>
      <c r="W99" s="256"/>
      <c r="X99" s="172"/>
      <c r="Y99" s="108"/>
      <c r="Z99" s="244"/>
    </row>
    <row r="100" spans="4:26" x14ac:dyDescent="0.25">
      <c r="E100" s="44"/>
      <c r="F100" s="45"/>
      <c r="G100" s="211"/>
      <c r="H100" s="56">
        <v>2</v>
      </c>
      <c r="I100" s="239"/>
      <c r="J100" s="240" t="s">
        <v>564</v>
      </c>
      <c r="K100" s="134" t="s">
        <v>564</v>
      </c>
      <c r="L100" s="93"/>
      <c r="M100" s="246" t="s">
        <v>564</v>
      </c>
      <c r="N100" s="172"/>
      <c r="O100" s="93"/>
      <c r="P100" s="246" t="s">
        <v>564</v>
      </c>
      <c r="Q100" s="258" t="s">
        <v>560</v>
      </c>
      <c r="R100" s="257"/>
      <c r="S100" s="260" t="s">
        <v>563</v>
      </c>
      <c r="T100" s="93"/>
      <c r="U100" s="243"/>
      <c r="V100" s="260" t="s">
        <v>560</v>
      </c>
      <c r="W100" s="256"/>
      <c r="X100" s="172"/>
      <c r="Y100" s="108"/>
      <c r="Z100" s="244"/>
    </row>
    <row r="101" spans="4:26" x14ac:dyDescent="0.25">
      <c r="E101" s="210"/>
      <c r="F101" s="44"/>
      <c r="G101" s="211"/>
      <c r="H101" s="56">
        <v>3</v>
      </c>
      <c r="I101" s="239"/>
      <c r="J101" s="172"/>
      <c r="K101" s="211"/>
      <c r="L101" s="241" t="s">
        <v>567</v>
      </c>
      <c r="M101" s="246" t="s">
        <v>567</v>
      </c>
      <c r="N101" s="172"/>
      <c r="O101" s="93"/>
      <c r="P101" s="250"/>
      <c r="Q101" s="259"/>
      <c r="R101" s="257"/>
      <c r="S101" s="260" t="s">
        <v>574</v>
      </c>
      <c r="T101" s="93"/>
      <c r="U101" s="269" t="s">
        <v>577</v>
      </c>
      <c r="V101" s="254"/>
      <c r="W101" s="256"/>
      <c r="X101" s="172"/>
      <c r="Y101" s="108"/>
      <c r="Z101" s="244"/>
    </row>
    <row r="102" spans="4:26" x14ac:dyDescent="0.25">
      <c r="E102" s="44"/>
      <c r="F102" s="44"/>
      <c r="G102" s="211"/>
      <c r="H102" s="56">
        <v>4</v>
      </c>
      <c r="I102" s="239"/>
      <c r="J102" s="240" t="s">
        <v>565</v>
      </c>
      <c r="K102" s="134" t="s">
        <v>565</v>
      </c>
      <c r="L102" s="241" t="s">
        <v>565</v>
      </c>
      <c r="M102" s="243"/>
      <c r="N102" s="172"/>
      <c r="O102" s="93"/>
      <c r="P102" s="250"/>
      <c r="Q102" s="259"/>
      <c r="R102" s="257"/>
      <c r="S102" s="254"/>
      <c r="T102" s="265" t="s">
        <v>575</v>
      </c>
      <c r="U102" s="243"/>
      <c r="V102" s="260" t="s">
        <v>578</v>
      </c>
      <c r="W102" s="256"/>
      <c r="X102" s="172"/>
      <c r="Y102" s="108"/>
      <c r="Z102" s="244"/>
    </row>
    <row r="103" spans="4:26" x14ac:dyDescent="0.25">
      <c r="E103" s="210"/>
      <c r="F103" s="211"/>
      <c r="G103" s="211"/>
      <c r="H103" s="56">
        <v>5</v>
      </c>
      <c r="I103" s="239"/>
      <c r="J103" s="172"/>
      <c r="K103" s="211"/>
      <c r="L103" s="93"/>
      <c r="M103" s="246" t="s">
        <v>568</v>
      </c>
      <c r="N103" s="240" t="s">
        <v>568</v>
      </c>
      <c r="O103" s="93"/>
      <c r="P103" s="250"/>
      <c r="Q103" s="259"/>
      <c r="R103" s="257"/>
      <c r="S103" s="260" t="s">
        <v>566</v>
      </c>
      <c r="T103" s="93"/>
      <c r="U103" s="243"/>
      <c r="V103" s="172"/>
      <c r="W103" s="265" t="s">
        <v>579</v>
      </c>
      <c r="X103" s="172"/>
      <c r="Y103" s="108"/>
      <c r="Z103" s="244"/>
    </row>
    <row r="104" spans="4:26" x14ac:dyDescent="0.25">
      <c r="E104" s="46"/>
      <c r="F104" s="46"/>
      <c r="G104" s="44"/>
      <c r="H104" s="56">
        <v>6</v>
      </c>
      <c r="I104" s="239"/>
      <c r="J104" s="172"/>
      <c r="K104" s="211"/>
      <c r="L104" s="93"/>
      <c r="M104" s="243"/>
      <c r="N104" s="172"/>
      <c r="O104" s="241" t="s">
        <v>569</v>
      </c>
      <c r="P104" s="250"/>
      <c r="Q104" s="260" t="s">
        <v>561</v>
      </c>
      <c r="R104" s="257"/>
      <c r="S104" s="172"/>
      <c r="T104" s="93"/>
      <c r="U104" s="243"/>
      <c r="V104" s="172"/>
      <c r="W104" s="256"/>
      <c r="X104" s="172"/>
      <c r="Y104" s="108"/>
      <c r="Z104" s="277" t="s">
        <v>569</v>
      </c>
    </row>
    <row r="105" spans="4:26" x14ac:dyDescent="0.25">
      <c r="E105" s="211"/>
      <c r="F105" s="211"/>
      <c r="G105" s="211"/>
      <c r="H105" s="56" t="s">
        <v>115</v>
      </c>
      <c r="I105" s="239"/>
      <c r="J105" s="172"/>
      <c r="K105" s="211"/>
      <c r="L105" s="93"/>
      <c r="M105" s="243"/>
      <c r="N105" s="172"/>
      <c r="O105" s="93"/>
      <c r="P105" s="250"/>
      <c r="Q105" s="196"/>
      <c r="R105" s="241" t="s">
        <v>570</v>
      </c>
      <c r="S105" s="172"/>
      <c r="T105" s="93"/>
      <c r="U105" s="243"/>
      <c r="V105" s="172"/>
      <c r="W105" s="256"/>
      <c r="X105" s="172"/>
      <c r="Y105" s="274" t="s">
        <v>570</v>
      </c>
      <c r="Z105" s="244"/>
    </row>
    <row r="106" spans="4:26" x14ac:dyDescent="0.25">
      <c r="E106" s="211"/>
      <c r="F106" s="211"/>
      <c r="G106" s="211"/>
      <c r="H106" s="56"/>
      <c r="I106" s="239"/>
      <c r="J106" s="172"/>
      <c r="K106" s="211"/>
      <c r="L106" s="93"/>
      <c r="M106" s="243"/>
      <c r="N106" s="172"/>
      <c r="O106" s="93"/>
      <c r="P106" s="243"/>
      <c r="Q106" s="172"/>
      <c r="R106" s="93"/>
      <c r="S106" s="172"/>
      <c r="T106" s="93"/>
      <c r="U106" s="243"/>
      <c r="V106" s="172"/>
      <c r="W106" s="256"/>
      <c r="X106" s="172"/>
      <c r="Y106" s="108"/>
      <c r="Z106" s="244"/>
    </row>
    <row r="107" spans="4:26" x14ac:dyDescent="0.25">
      <c r="E107" s="211"/>
      <c r="F107" s="211"/>
      <c r="G107" s="211"/>
      <c r="H107" s="56" t="s">
        <v>533</v>
      </c>
      <c r="I107" s="239"/>
      <c r="J107" s="172"/>
      <c r="K107" s="211"/>
      <c r="L107" s="93"/>
      <c r="M107" s="243"/>
      <c r="N107" s="172"/>
      <c r="O107" s="93"/>
      <c r="P107" s="243"/>
      <c r="Q107" s="172"/>
      <c r="R107" s="93"/>
      <c r="S107" s="172"/>
      <c r="T107" s="93"/>
      <c r="U107" s="243"/>
      <c r="V107" s="172"/>
      <c r="W107" s="256"/>
      <c r="X107" s="172"/>
      <c r="Y107" s="108"/>
      <c r="Z107" s="244"/>
    </row>
    <row r="108" spans="4:26" x14ac:dyDescent="0.25">
      <c r="D108" s="202"/>
      <c r="E108" s="211"/>
      <c r="F108" s="211"/>
      <c r="G108" s="211"/>
      <c r="H108" s="56">
        <v>9</v>
      </c>
      <c r="I108" s="239"/>
      <c r="J108" s="172"/>
      <c r="K108" s="211"/>
      <c r="L108" s="93"/>
      <c r="M108" s="243"/>
      <c r="N108" s="172"/>
      <c r="O108" s="93"/>
      <c r="P108" s="244" t="s">
        <v>380</v>
      </c>
      <c r="Q108" s="172"/>
      <c r="R108" s="93"/>
      <c r="S108" s="172"/>
      <c r="T108" s="93"/>
      <c r="U108" s="268" t="s">
        <v>83</v>
      </c>
      <c r="V108" s="172"/>
      <c r="W108" s="256"/>
      <c r="X108" s="253" t="s">
        <v>88</v>
      </c>
      <c r="Y108" s="108"/>
      <c r="Z108" s="244"/>
    </row>
    <row r="109" spans="4:26" x14ac:dyDescent="0.25">
      <c r="D109" s="202"/>
      <c r="E109" s="211"/>
      <c r="F109" s="211"/>
      <c r="G109" s="211"/>
      <c r="H109" s="56">
        <v>1</v>
      </c>
      <c r="I109" s="239"/>
      <c r="J109" s="172" t="s">
        <v>88</v>
      </c>
      <c r="K109" s="211" t="s">
        <v>88</v>
      </c>
      <c r="L109" s="93"/>
      <c r="M109" s="243"/>
      <c r="N109" s="172"/>
      <c r="O109" s="93"/>
      <c r="P109" s="244" t="s">
        <v>380</v>
      </c>
      <c r="Q109" s="172" t="s">
        <v>88</v>
      </c>
      <c r="R109" s="93"/>
      <c r="S109" s="254" t="s">
        <v>380</v>
      </c>
      <c r="T109" s="93"/>
      <c r="U109" s="268" t="s">
        <v>83</v>
      </c>
      <c r="V109" s="172"/>
      <c r="W109" s="256"/>
      <c r="X109" s="172"/>
      <c r="Y109" s="108"/>
      <c r="Z109" s="244"/>
    </row>
    <row r="110" spans="4:26" x14ac:dyDescent="0.25">
      <c r="D110" s="202"/>
      <c r="E110" s="211"/>
      <c r="F110" s="211"/>
      <c r="G110" s="211"/>
      <c r="H110" s="56">
        <v>2</v>
      </c>
      <c r="I110" s="239"/>
      <c r="J110" s="172" t="s">
        <v>88</v>
      </c>
      <c r="K110" s="211" t="s">
        <v>88</v>
      </c>
      <c r="L110" s="93"/>
      <c r="M110" s="243" t="s">
        <v>88</v>
      </c>
      <c r="N110" s="172"/>
      <c r="O110" s="93"/>
      <c r="P110" s="244" t="s">
        <v>83</v>
      </c>
      <c r="Q110" s="172" t="s">
        <v>88</v>
      </c>
      <c r="R110" s="93"/>
      <c r="S110" s="254" t="s">
        <v>380</v>
      </c>
      <c r="T110" s="93"/>
      <c r="U110" s="268" t="s">
        <v>83</v>
      </c>
      <c r="V110" s="254" t="s">
        <v>83</v>
      </c>
      <c r="W110" s="256"/>
      <c r="X110" s="172"/>
      <c r="Y110" s="108"/>
      <c r="Z110" s="244"/>
    </row>
    <row r="111" spans="4:26" x14ac:dyDescent="0.25">
      <c r="D111" s="202"/>
      <c r="E111" s="211"/>
      <c r="F111" s="211"/>
      <c r="G111" s="211"/>
      <c r="H111" s="56">
        <v>3</v>
      </c>
      <c r="I111" s="239"/>
      <c r="J111" s="172"/>
      <c r="K111" s="211"/>
      <c r="L111" s="93" t="s">
        <v>88</v>
      </c>
      <c r="M111" s="243" t="s">
        <v>88</v>
      </c>
      <c r="N111" s="172"/>
      <c r="O111" s="93"/>
      <c r="P111" s="244" t="s">
        <v>83</v>
      </c>
      <c r="Q111" s="172"/>
      <c r="R111" s="93"/>
      <c r="S111" s="254" t="s">
        <v>380</v>
      </c>
      <c r="T111" s="256" t="s">
        <v>380</v>
      </c>
      <c r="U111" s="268" t="s">
        <v>83</v>
      </c>
      <c r="V111" s="254" t="s">
        <v>83</v>
      </c>
      <c r="W111" s="256"/>
      <c r="X111" s="172"/>
      <c r="Y111" s="108"/>
      <c r="Z111" s="244"/>
    </row>
    <row r="112" spans="4:26" x14ac:dyDescent="0.25">
      <c r="D112" s="202"/>
      <c r="E112" s="211"/>
      <c r="F112" s="211"/>
      <c r="G112" s="211"/>
      <c r="H112" s="56">
        <v>4</v>
      </c>
      <c r="I112" s="239"/>
      <c r="J112" s="172" t="s">
        <v>88</v>
      </c>
      <c r="K112" s="211" t="s">
        <v>88</v>
      </c>
      <c r="L112" s="93" t="s">
        <v>88</v>
      </c>
      <c r="M112" s="244" t="s">
        <v>380</v>
      </c>
      <c r="N112" s="172"/>
      <c r="O112" s="93"/>
      <c r="P112" s="243"/>
      <c r="Q112" s="172"/>
      <c r="R112" s="93"/>
      <c r="S112" s="254" t="s">
        <v>380</v>
      </c>
      <c r="T112" s="256" t="s">
        <v>380</v>
      </c>
      <c r="U112" s="250"/>
      <c r="V112" s="254" t="s">
        <v>83</v>
      </c>
      <c r="W112" s="256"/>
      <c r="X112" s="172"/>
      <c r="Y112" s="108"/>
      <c r="Z112" s="244"/>
    </row>
    <row r="113" spans="4:26" x14ac:dyDescent="0.25">
      <c r="D113" s="202"/>
      <c r="E113" s="211"/>
      <c r="F113" s="211"/>
      <c r="G113" s="211"/>
      <c r="H113" s="56">
        <v>5</v>
      </c>
      <c r="I113" s="239"/>
      <c r="J113" s="172"/>
      <c r="K113" s="211"/>
      <c r="L113" s="93"/>
      <c r="M113" s="244" t="s">
        <v>380</v>
      </c>
      <c r="N113" s="172" t="s">
        <v>88</v>
      </c>
      <c r="O113" s="93"/>
      <c r="P113" s="243"/>
      <c r="Q113" s="254" t="s">
        <v>380</v>
      </c>
      <c r="R113" s="93"/>
      <c r="S113" s="172"/>
      <c r="T113" s="93"/>
      <c r="U113" s="243"/>
      <c r="V113" s="254" t="s">
        <v>83</v>
      </c>
      <c r="W113" s="256" t="s">
        <v>83</v>
      </c>
      <c r="X113" s="172"/>
      <c r="Y113" s="108"/>
      <c r="Z113" s="244"/>
    </row>
    <row r="114" spans="4:26" x14ac:dyDescent="0.25">
      <c r="D114" s="202"/>
      <c r="E114" s="211"/>
      <c r="F114" s="211"/>
      <c r="G114" s="211"/>
      <c r="H114" s="56">
        <v>6</v>
      </c>
      <c r="I114" s="239"/>
      <c r="J114" s="172"/>
      <c r="K114" s="211"/>
      <c r="L114" s="93"/>
      <c r="M114" s="243"/>
      <c r="N114" s="172"/>
      <c r="O114" s="93" t="s">
        <v>88</v>
      </c>
      <c r="P114" s="243"/>
      <c r="Q114" s="254" t="s">
        <v>380</v>
      </c>
      <c r="R114" s="256" t="s">
        <v>380</v>
      </c>
      <c r="S114" s="172"/>
      <c r="T114" s="93"/>
      <c r="U114" s="243"/>
      <c r="V114" s="172"/>
      <c r="W114" s="256" t="s">
        <v>83</v>
      </c>
      <c r="X114" s="172"/>
      <c r="Y114" s="108"/>
      <c r="Z114" s="244" t="s">
        <v>546</v>
      </c>
    </row>
    <row r="115" spans="4:26" ht="15.75" thickBot="1" x14ac:dyDescent="0.3">
      <c r="D115" s="202"/>
      <c r="E115" s="211"/>
      <c r="F115" s="211"/>
      <c r="G115" s="211"/>
      <c r="H115" s="56">
        <v>10</v>
      </c>
      <c r="I115" s="239"/>
      <c r="J115" s="168"/>
      <c r="K115" s="94"/>
      <c r="L115" s="95"/>
      <c r="M115" s="247"/>
      <c r="N115" s="168"/>
      <c r="O115" s="95"/>
      <c r="P115" s="247"/>
      <c r="Q115" s="168"/>
      <c r="R115" s="261" t="s">
        <v>380</v>
      </c>
      <c r="S115" s="168"/>
      <c r="T115" s="95"/>
      <c r="U115" s="247"/>
      <c r="V115" s="168"/>
      <c r="W115" s="261"/>
      <c r="X115" s="168"/>
      <c r="Y115" s="275" t="s">
        <v>545</v>
      </c>
      <c r="Z115" s="278" t="s">
        <v>546</v>
      </c>
    </row>
    <row r="116" spans="4:26" x14ac:dyDescent="0.25">
      <c r="W116" s="217"/>
    </row>
    <row r="118" spans="4:26" x14ac:dyDescent="0.25">
      <c r="Q118" s="216" t="s">
        <v>83</v>
      </c>
      <c r="R118" s="109" t="s">
        <v>571</v>
      </c>
    </row>
    <row r="119" spans="4:26" x14ac:dyDescent="0.25">
      <c r="Q119" s="215" t="s">
        <v>83</v>
      </c>
      <c r="R119" s="109" t="s">
        <v>572</v>
      </c>
    </row>
    <row r="120" spans="4:26" x14ac:dyDescent="0.25">
      <c r="Q120" s="144" t="s">
        <v>88</v>
      </c>
      <c r="R120" s="109" t="s">
        <v>573</v>
      </c>
    </row>
    <row r="121" spans="4:26" x14ac:dyDescent="0.25">
      <c r="J121" s="212" t="s">
        <v>127</v>
      </c>
      <c r="K121" s="144" t="s">
        <v>126</v>
      </c>
      <c r="L121" s="213" t="s">
        <v>128</v>
      </c>
      <c r="M121" s="214" t="s">
        <v>129</v>
      </c>
      <c r="N121" s="212" t="s">
        <v>544</v>
      </c>
      <c r="O121" s="213" t="s">
        <v>543</v>
      </c>
      <c r="P121" s="214" t="s">
        <v>127</v>
      </c>
      <c r="Q121" s="212" t="s">
        <v>129</v>
      </c>
      <c r="R121" s="213" t="s">
        <v>537</v>
      </c>
      <c r="S121" s="212" t="s">
        <v>127</v>
      </c>
      <c r="T121" s="213" t="s">
        <v>128</v>
      </c>
      <c r="U121" s="214" t="s">
        <v>127</v>
      </c>
      <c r="V121" s="212" t="s">
        <v>129</v>
      </c>
      <c r="W121" s="213" t="s">
        <v>537</v>
      </c>
      <c r="X121" s="212" t="s">
        <v>542</v>
      </c>
      <c r="Y121" s="213" t="s">
        <v>543</v>
      </c>
      <c r="Z121" s="214" t="s">
        <v>543</v>
      </c>
    </row>
    <row r="123" spans="4:26" x14ac:dyDescent="0.25">
      <c r="H123" s="210" t="s">
        <v>124</v>
      </c>
      <c r="I123" s="210"/>
      <c r="J123" s="208" t="s">
        <v>136</v>
      </c>
      <c r="K123" s="208" t="s">
        <v>136</v>
      </c>
      <c r="L123" s="208" t="s">
        <v>137</v>
      </c>
      <c r="M123" s="208" t="s">
        <v>136</v>
      </c>
      <c r="N123" s="208" t="s">
        <v>114</v>
      </c>
      <c r="O123" s="208" t="s">
        <v>114</v>
      </c>
      <c r="P123" s="218" t="s">
        <v>580</v>
      </c>
      <c r="Q123" s="219" t="s">
        <v>230</v>
      </c>
      <c r="R123" s="219" t="s">
        <v>230</v>
      </c>
      <c r="S123" s="48" t="s">
        <v>136</v>
      </c>
      <c r="T123" s="48" t="s">
        <v>136</v>
      </c>
      <c r="U123" s="232" t="s">
        <v>136</v>
      </c>
      <c r="V123" s="232" t="s">
        <v>581</v>
      </c>
      <c r="W123" s="232" t="s">
        <v>581</v>
      </c>
      <c r="X123" s="177" t="s">
        <v>115</v>
      </c>
      <c r="Y123" s="177" t="s">
        <v>115</v>
      </c>
      <c r="Z123" s="177" t="s">
        <v>115</v>
      </c>
    </row>
    <row r="124" spans="4:26" x14ac:dyDescent="0.25">
      <c r="H124" s="210"/>
      <c r="I124" s="210"/>
      <c r="J124" s="208"/>
      <c r="K124" s="208"/>
      <c r="L124" s="208"/>
      <c r="M124" s="208"/>
      <c r="N124" s="208"/>
      <c r="O124" s="208"/>
      <c r="P124" s="208"/>
      <c r="Q124" s="48"/>
      <c r="R124" s="48"/>
      <c r="S124" s="48"/>
      <c r="T124" s="48"/>
      <c r="U124" s="232"/>
      <c r="V124" s="232"/>
      <c r="W124" s="232"/>
      <c r="X124" s="177"/>
      <c r="Y124" s="177"/>
      <c r="Z124" s="177"/>
    </row>
    <row r="125" spans="4:26" x14ac:dyDescent="0.25">
      <c r="H125" s="210" t="s">
        <v>116</v>
      </c>
      <c r="I125" s="210"/>
      <c r="J125" s="208" t="s">
        <v>120</v>
      </c>
      <c r="K125" s="208" t="s">
        <v>120</v>
      </c>
      <c r="L125" s="208" t="s">
        <v>120</v>
      </c>
      <c r="M125" s="208" t="s">
        <v>120</v>
      </c>
      <c r="N125" s="208" t="s">
        <v>120</v>
      </c>
      <c r="O125" s="208" t="s">
        <v>120</v>
      </c>
      <c r="P125" s="208" t="s">
        <v>120</v>
      </c>
      <c r="Q125" s="48" t="s">
        <v>120</v>
      </c>
      <c r="R125" s="48" t="s">
        <v>120</v>
      </c>
      <c r="S125" s="48" t="s">
        <v>120</v>
      </c>
      <c r="T125" s="48" t="s">
        <v>120</v>
      </c>
      <c r="U125" s="232" t="s">
        <v>121</v>
      </c>
      <c r="V125" s="232" t="s">
        <v>121</v>
      </c>
      <c r="W125" s="232" t="s">
        <v>121</v>
      </c>
      <c r="X125" s="232" t="s">
        <v>121</v>
      </c>
      <c r="Y125" s="232" t="s">
        <v>121</v>
      </c>
      <c r="Z125" s="232" t="s">
        <v>121</v>
      </c>
    </row>
    <row r="126" spans="4:26" x14ac:dyDescent="0.25">
      <c r="H126" s="210" t="s">
        <v>117</v>
      </c>
      <c r="I126" s="210"/>
      <c r="J126" s="208" t="s">
        <v>120</v>
      </c>
      <c r="K126" s="208" t="s">
        <v>120</v>
      </c>
      <c r="L126" s="208" t="s">
        <v>120</v>
      </c>
      <c r="M126" s="208" t="s">
        <v>120</v>
      </c>
      <c r="N126" s="208" t="s">
        <v>120</v>
      </c>
      <c r="O126" s="208" t="s">
        <v>120</v>
      </c>
      <c r="P126" s="208" t="s">
        <v>120</v>
      </c>
      <c r="Q126" s="48" t="s">
        <v>120</v>
      </c>
      <c r="R126" s="48" t="s">
        <v>120</v>
      </c>
      <c r="S126" s="48" t="s">
        <v>120</v>
      </c>
      <c r="T126" s="48" t="s">
        <v>120</v>
      </c>
      <c r="U126" s="232" t="s">
        <v>121</v>
      </c>
      <c r="V126" s="232" t="s">
        <v>121</v>
      </c>
      <c r="W126" s="232" t="s">
        <v>121</v>
      </c>
      <c r="X126" s="232" t="s">
        <v>121</v>
      </c>
      <c r="Y126" s="232" t="s">
        <v>121</v>
      </c>
      <c r="Z126" s="232" t="s">
        <v>121</v>
      </c>
    </row>
    <row r="127" spans="4:26" x14ac:dyDescent="0.25">
      <c r="H127" s="210" t="s">
        <v>118</v>
      </c>
      <c r="I127" s="210"/>
      <c r="J127" s="208" t="s">
        <v>120</v>
      </c>
      <c r="K127" s="208" t="s">
        <v>120</v>
      </c>
      <c r="L127" s="208" t="s">
        <v>120</v>
      </c>
      <c r="M127" s="208" t="s">
        <v>120</v>
      </c>
      <c r="N127" s="208" t="s">
        <v>120</v>
      </c>
      <c r="O127" s="208" t="s">
        <v>120</v>
      </c>
      <c r="P127" s="208" t="s">
        <v>120</v>
      </c>
      <c r="Q127" s="48" t="s">
        <v>120</v>
      </c>
      <c r="R127" s="48" t="s">
        <v>120</v>
      </c>
      <c r="S127" s="48" t="s">
        <v>120</v>
      </c>
      <c r="T127" s="48" t="s">
        <v>120</v>
      </c>
      <c r="U127" s="232" t="s">
        <v>121</v>
      </c>
      <c r="V127" s="232" t="s">
        <v>121</v>
      </c>
      <c r="W127" s="232" t="s">
        <v>121</v>
      </c>
      <c r="X127" s="232" t="s">
        <v>121</v>
      </c>
      <c r="Y127" s="232" t="s">
        <v>121</v>
      </c>
      <c r="Z127" s="232" t="s">
        <v>121</v>
      </c>
    </row>
    <row r="128" spans="4:26" x14ac:dyDescent="0.25">
      <c r="H128" s="210" t="s">
        <v>119</v>
      </c>
      <c r="I128" s="210"/>
      <c r="J128" s="208" t="s">
        <v>120</v>
      </c>
      <c r="K128" s="208" t="s">
        <v>120</v>
      </c>
      <c r="L128" s="208" t="s">
        <v>120</v>
      </c>
      <c r="M128" s="208" t="s">
        <v>120</v>
      </c>
      <c r="N128" s="208" t="s">
        <v>120</v>
      </c>
      <c r="O128" s="208" t="s">
        <v>120</v>
      </c>
      <c r="P128" s="208" t="s">
        <v>120</v>
      </c>
      <c r="Q128" s="48" t="s">
        <v>120</v>
      </c>
      <c r="R128" s="48" t="s">
        <v>120</v>
      </c>
      <c r="S128" s="48" t="s">
        <v>120</v>
      </c>
      <c r="T128" s="48" t="s">
        <v>120</v>
      </c>
      <c r="U128" s="232" t="s">
        <v>121</v>
      </c>
      <c r="V128" s="232" t="s">
        <v>121</v>
      </c>
      <c r="W128" s="232" t="s">
        <v>121</v>
      </c>
      <c r="X128" s="232" t="s">
        <v>121</v>
      </c>
      <c r="Y128" s="232" t="s">
        <v>121</v>
      </c>
      <c r="Z128" s="232" t="s">
        <v>121</v>
      </c>
    </row>
    <row r="129" spans="8:26" x14ac:dyDescent="0.25">
      <c r="H129" s="210"/>
      <c r="I129" s="210"/>
      <c r="J129" s="210"/>
      <c r="K129" s="210"/>
      <c r="L129" s="210"/>
      <c r="M129" s="210"/>
      <c r="N129" s="210"/>
      <c r="O129" s="210"/>
      <c r="P129" s="210"/>
      <c r="Q129" s="210"/>
      <c r="R129" s="210"/>
      <c r="S129" s="210"/>
      <c r="T129" s="210"/>
      <c r="U129" s="210"/>
      <c r="V129" s="210"/>
      <c r="W129" s="210"/>
      <c r="X129" s="210"/>
      <c r="Y129" s="210"/>
      <c r="Z129" s="210"/>
    </row>
    <row r="130" spans="8:26" x14ac:dyDescent="0.25">
      <c r="H130" s="210" t="s">
        <v>139</v>
      </c>
      <c r="I130" s="210"/>
      <c r="J130" s="48" t="s">
        <v>120</v>
      </c>
      <c r="K130" s="48" t="s">
        <v>120</v>
      </c>
      <c r="L130" s="48" t="s">
        <v>120</v>
      </c>
      <c r="M130" s="48" t="s">
        <v>120</v>
      </c>
      <c r="N130" s="48" t="s">
        <v>120</v>
      </c>
      <c r="O130" s="48" t="s">
        <v>120</v>
      </c>
      <c r="P130" s="48" t="s">
        <v>120</v>
      </c>
      <c r="Q130" s="48" t="s">
        <v>120</v>
      </c>
      <c r="R130" s="48" t="s">
        <v>120</v>
      </c>
      <c r="S130" s="48" t="s">
        <v>120</v>
      </c>
      <c r="T130" s="48" t="s">
        <v>120</v>
      </c>
      <c r="U130" s="210" t="s">
        <v>121</v>
      </c>
      <c r="V130" s="210" t="s">
        <v>121</v>
      </c>
      <c r="W130" s="210" t="s">
        <v>121</v>
      </c>
      <c r="X130" s="210" t="s">
        <v>121</v>
      </c>
      <c r="Y130" s="210" t="s">
        <v>121</v>
      </c>
      <c r="Z130" s="210" t="s">
        <v>121</v>
      </c>
    </row>
    <row r="131" spans="8:26" x14ac:dyDescent="0.25">
      <c r="H131" s="210"/>
      <c r="I131" s="210"/>
      <c r="J131" s="210"/>
      <c r="K131" s="210"/>
      <c r="L131" s="210"/>
      <c r="M131" s="210"/>
      <c r="N131" s="210"/>
      <c r="O131" s="210"/>
      <c r="P131" s="210"/>
      <c r="Q131" s="210"/>
      <c r="R131" s="210"/>
      <c r="S131" s="210"/>
      <c r="T131" s="210"/>
      <c r="U131" s="210"/>
      <c r="V131" s="210"/>
      <c r="W131" s="210"/>
      <c r="X131" s="210"/>
      <c r="Y131" s="210"/>
      <c r="Z131" s="210"/>
    </row>
    <row r="132" spans="8:26" x14ac:dyDescent="0.25">
      <c r="H132" s="210" t="s">
        <v>140</v>
      </c>
      <c r="I132" s="210"/>
      <c r="J132" s="48" t="s">
        <v>120</v>
      </c>
      <c r="K132" s="48" t="s">
        <v>120</v>
      </c>
      <c r="L132" s="48" t="s">
        <v>120</v>
      </c>
      <c r="M132" s="48" t="s">
        <v>120</v>
      </c>
      <c r="N132" s="48" t="s">
        <v>120</v>
      </c>
      <c r="O132" s="48" t="s">
        <v>120</v>
      </c>
      <c r="P132" s="48" t="s">
        <v>120</v>
      </c>
      <c r="Q132" s="48" t="s">
        <v>120</v>
      </c>
      <c r="R132" s="48" t="s">
        <v>120</v>
      </c>
      <c r="S132" s="48" t="s">
        <v>120</v>
      </c>
      <c r="T132" s="48" t="s">
        <v>120</v>
      </c>
      <c r="U132" s="210" t="s">
        <v>121</v>
      </c>
      <c r="V132" s="210" t="s">
        <v>121</v>
      </c>
      <c r="W132" s="210" t="s">
        <v>121</v>
      </c>
      <c r="X132" s="210" t="s">
        <v>121</v>
      </c>
      <c r="Y132" s="210" t="s">
        <v>121</v>
      </c>
      <c r="Z132" s="210" t="s">
        <v>121</v>
      </c>
    </row>
    <row r="133" spans="8:26" x14ac:dyDescent="0.25">
      <c r="H133" s="210" t="s">
        <v>141</v>
      </c>
      <c r="I133" s="210"/>
      <c r="J133" s="48" t="s">
        <v>120</v>
      </c>
      <c r="K133" s="48" t="s">
        <v>120</v>
      </c>
      <c r="L133" s="48" t="s">
        <v>120</v>
      </c>
      <c r="M133" s="48" t="s">
        <v>120</v>
      </c>
      <c r="N133" s="48" t="s">
        <v>120</v>
      </c>
      <c r="O133" s="48" t="s">
        <v>120</v>
      </c>
      <c r="P133" s="48" t="s">
        <v>120</v>
      </c>
      <c r="Q133" s="48" t="s">
        <v>120</v>
      </c>
      <c r="R133" s="48" t="s">
        <v>120</v>
      </c>
      <c r="S133" s="48" t="s">
        <v>120</v>
      </c>
      <c r="T133" s="48" t="s">
        <v>120</v>
      </c>
      <c r="U133" s="210" t="s">
        <v>121</v>
      </c>
      <c r="V133" s="210" t="s">
        <v>121</v>
      </c>
      <c r="W133" s="210" t="s">
        <v>121</v>
      </c>
      <c r="X133" s="210" t="s">
        <v>121</v>
      </c>
      <c r="Y133" s="210" t="s">
        <v>121</v>
      </c>
      <c r="Z133" s="210" t="s">
        <v>121</v>
      </c>
    </row>
    <row r="134" spans="8:26" x14ac:dyDescent="0.25">
      <c r="H134" s="210" t="s">
        <v>142</v>
      </c>
      <c r="I134" s="210"/>
      <c r="J134" s="48" t="s">
        <v>120</v>
      </c>
      <c r="K134" s="48" t="s">
        <v>120</v>
      </c>
      <c r="L134" s="48" t="s">
        <v>120</v>
      </c>
      <c r="M134" s="48" t="s">
        <v>120</v>
      </c>
      <c r="N134" s="48" t="s">
        <v>120</v>
      </c>
      <c r="O134" s="48" t="s">
        <v>120</v>
      </c>
      <c r="P134" s="48" t="s">
        <v>120</v>
      </c>
      <c r="Q134" s="48" t="s">
        <v>120</v>
      </c>
      <c r="R134" s="48" t="s">
        <v>120</v>
      </c>
      <c r="S134" s="48" t="s">
        <v>120</v>
      </c>
      <c r="T134" s="48" t="s">
        <v>120</v>
      </c>
      <c r="U134" s="210" t="s">
        <v>121</v>
      </c>
      <c r="V134" s="210" t="s">
        <v>121</v>
      </c>
      <c r="W134" s="210" t="s">
        <v>121</v>
      </c>
      <c r="X134" s="210" t="s">
        <v>121</v>
      </c>
      <c r="Y134" s="210" t="s">
        <v>121</v>
      </c>
      <c r="Z134" s="210" t="s">
        <v>121</v>
      </c>
    </row>
    <row r="135" spans="8:26" x14ac:dyDescent="0.25">
      <c r="H135" s="210"/>
      <c r="I135" s="210"/>
      <c r="J135" s="210"/>
      <c r="K135" s="210"/>
      <c r="L135" s="210"/>
      <c r="M135" s="210"/>
      <c r="N135" s="210"/>
      <c r="O135" s="210"/>
      <c r="P135" s="210"/>
      <c r="Q135" s="210"/>
      <c r="R135" s="210"/>
      <c r="S135" s="210"/>
      <c r="T135" s="210"/>
      <c r="U135" s="210"/>
      <c r="V135" s="210"/>
      <c r="W135" s="210"/>
    </row>
    <row r="136" spans="8:26" x14ac:dyDescent="0.25">
      <c r="H136" s="210"/>
      <c r="I136" s="210"/>
      <c r="J136" s="210"/>
      <c r="K136" s="210"/>
      <c r="L136" s="210"/>
      <c r="M136" s="210"/>
      <c r="N136" s="210"/>
      <c r="O136" s="210"/>
      <c r="P136" s="210"/>
      <c r="Q136" s="210"/>
      <c r="R136" s="210"/>
      <c r="S136" s="210"/>
      <c r="T136" s="210"/>
      <c r="U136" s="210"/>
      <c r="V136" s="210"/>
      <c r="W136" s="210"/>
    </row>
    <row r="137" spans="8:26" x14ac:dyDescent="0.25">
      <c r="H137" s="210" t="s">
        <v>152</v>
      </c>
      <c r="I137" s="210"/>
      <c r="J137" s="210" t="s">
        <v>120</v>
      </c>
      <c r="K137" s="210" t="s">
        <v>120</v>
      </c>
      <c r="L137" s="210" t="s">
        <v>120</v>
      </c>
      <c r="M137" s="205" t="s">
        <v>582</v>
      </c>
      <c r="N137" s="210" t="s">
        <v>120</v>
      </c>
      <c r="O137" s="210" t="s">
        <v>120</v>
      </c>
      <c r="P137" s="205" t="s">
        <v>582</v>
      </c>
      <c r="Q137" s="205" t="s">
        <v>582</v>
      </c>
      <c r="R137" s="204" t="s">
        <v>154</v>
      </c>
      <c r="S137" s="204" t="s">
        <v>154</v>
      </c>
      <c r="T137" s="204" t="s">
        <v>154</v>
      </c>
      <c r="U137" s="436" t="s">
        <v>153</v>
      </c>
      <c r="V137" s="436"/>
      <c r="W137" s="204" t="s">
        <v>153</v>
      </c>
      <c r="X137" s="109" t="s">
        <v>582</v>
      </c>
      <c r="Y137" s="205" t="s">
        <v>582</v>
      </c>
      <c r="Z137" s="205" t="s">
        <v>582</v>
      </c>
    </row>
    <row r="138" spans="8:26" x14ac:dyDescent="0.25">
      <c r="P138" s="205"/>
      <c r="Q138" s="205"/>
    </row>
  </sheetData>
  <mergeCells count="29">
    <mergeCell ref="G35:K35"/>
    <mergeCell ref="X85:Z85"/>
    <mergeCell ref="N87:O87"/>
    <mergeCell ref="V85:W85"/>
    <mergeCell ref="P79:Q79"/>
    <mergeCell ref="S79:T79"/>
    <mergeCell ref="S82:T82"/>
    <mergeCell ref="S85:T85"/>
    <mergeCell ref="J85:M85"/>
    <mergeCell ref="N85:O85"/>
    <mergeCell ref="N82:O82"/>
    <mergeCell ref="Q85:R85"/>
    <mergeCell ref="P82:R82"/>
    <mergeCell ref="U137:V137"/>
    <mergeCell ref="G2:L2"/>
    <mergeCell ref="P2:T2"/>
    <mergeCell ref="G12:P12"/>
    <mergeCell ref="G22:J22"/>
    <mergeCell ref="L22:R22"/>
    <mergeCell ref="U79:W79"/>
    <mergeCell ref="G49:W50"/>
    <mergeCell ref="J52:M52"/>
    <mergeCell ref="U52:W52"/>
    <mergeCell ref="U77:V77"/>
    <mergeCell ref="P81:R81"/>
    <mergeCell ref="P41:R41"/>
    <mergeCell ref="R12:S12"/>
    <mergeCell ref="R17:S17"/>
    <mergeCell ref="P35:R35"/>
  </mergeCells>
  <pageMargins left="0.7" right="0.7" top="0.75" bottom="0.75" header="0.3" footer="0.3"/>
  <pageSetup paperSize="8" scale="59" fitToHeight="0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25"/>
  <sheetViews>
    <sheetView zoomScale="55" zoomScaleNormal="55" workbookViewId="0">
      <selection sqref="A1:XFD1"/>
    </sheetView>
  </sheetViews>
  <sheetFormatPr defaultColWidth="9.140625" defaultRowHeight="15" x14ac:dyDescent="0.25"/>
  <cols>
    <col min="1" max="1" width="13.7109375" style="12" bestFit="1" customWidth="1"/>
    <col min="2" max="2" width="15.7109375" style="12" bestFit="1" customWidth="1"/>
    <col min="3" max="3" width="13.85546875" style="12" bestFit="1" customWidth="1"/>
    <col min="4" max="4" width="17.42578125" style="12" bestFit="1" customWidth="1"/>
    <col min="5" max="5" width="11.5703125" style="12" customWidth="1"/>
    <col min="6" max="6" width="16" style="12" customWidth="1"/>
    <col min="7" max="7" width="19.140625" style="12" customWidth="1"/>
    <col min="8" max="8" width="23.42578125" style="12" customWidth="1"/>
    <col min="9" max="9" width="17" style="12" bestFit="1" customWidth="1"/>
    <col min="10" max="10" width="17.5703125" style="111" bestFit="1" customWidth="1"/>
    <col min="11" max="11" width="20.28515625" style="12" customWidth="1"/>
    <col min="12" max="12" width="25" style="12" customWidth="1"/>
    <col min="13" max="13" width="14.42578125" style="12" customWidth="1"/>
    <col min="14" max="14" width="12.140625" style="12" customWidth="1"/>
    <col min="15" max="15" width="20.7109375" style="12" customWidth="1"/>
    <col min="16" max="16" width="25.42578125" style="12" customWidth="1"/>
    <col min="17" max="17" width="16" style="12" bestFit="1" customWidth="1"/>
    <col min="18" max="18" width="23" style="12" customWidth="1"/>
    <col min="19" max="19" width="26.7109375" style="12" customWidth="1"/>
    <col min="20" max="20" width="16.5703125" style="12" customWidth="1"/>
    <col min="21" max="21" width="14" style="12" customWidth="1"/>
    <col min="22" max="22" width="87.28515625" style="12" customWidth="1"/>
    <col min="23" max="16384" width="9.140625" style="12"/>
  </cols>
  <sheetData>
    <row r="1" spans="1:22" s="13" customFormat="1" ht="75" x14ac:dyDescent="0.3">
      <c r="A1" s="289" t="s">
        <v>23</v>
      </c>
      <c r="B1" s="289" t="s">
        <v>31</v>
      </c>
      <c r="C1" s="289" t="s">
        <v>35</v>
      </c>
      <c r="D1" s="289" t="s">
        <v>36</v>
      </c>
      <c r="E1" s="289" t="s">
        <v>89</v>
      </c>
      <c r="F1" s="289" t="s">
        <v>25</v>
      </c>
      <c r="G1" s="289" t="s">
        <v>42</v>
      </c>
      <c r="H1" s="289" t="s">
        <v>44</v>
      </c>
      <c r="I1" s="289" t="s">
        <v>525</v>
      </c>
      <c r="J1" s="289" t="s">
        <v>7</v>
      </c>
      <c r="K1" s="289" t="s">
        <v>43</v>
      </c>
      <c r="L1" s="289" t="s">
        <v>45</v>
      </c>
      <c r="M1" s="289" t="s">
        <v>46</v>
      </c>
      <c r="N1" s="289" t="s">
        <v>47</v>
      </c>
      <c r="O1" s="289" t="s">
        <v>48</v>
      </c>
      <c r="P1" s="289" t="s">
        <v>49</v>
      </c>
      <c r="Q1" s="289" t="s">
        <v>24</v>
      </c>
      <c r="R1" s="289" t="s">
        <v>50</v>
      </c>
      <c r="S1" s="289" t="s">
        <v>51</v>
      </c>
      <c r="T1" s="289" t="s">
        <v>41</v>
      </c>
      <c r="U1" s="289" t="s">
        <v>90</v>
      </c>
      <c r="V1" s="306" t="s">
        <v>524</v>
      </c>
    </row>
    <row r="2" spans="1:22" ht="75" x14ac:dyDescent="0.25">
      <c r="A2" s="292">
        <v>97</v>
      </c>
      <c r="B2" s="293">
        <v>97</v>
      </c>
      <c r="C2" s="294">
        <v>14020</v>
      </c>
      <c r="D2" s="289">
        <v>10970</v>
      </c>
      <c r="E2" s="289" t="s">
        <v>26</v>
      </c>
      <c r="F2" s="289" t="s">
        <v>30</v>
      </c>
      <c r="G2" s="289" t="s">
        <v>73</v>
      </c>
      <c r="H2" s="289" t="s">
        <v>79</v>
      </c>
      <c r="I2" s="289" t="s">
        <v>526</v>
      </c>
      <c r="J2" s="289" t="s">
        <v>169</v>
      </c>
      <c r="K2" s="289" t="s">
        <v>74</v>
      </c>
      <c r="L2" s="289" t="s">
        <v>69</v>
      </c>
      <c r="M2" s="295" t="s">
        <v>86</v>
      </c>
      <c r="N2" s="295" t="s">
        <v>88</v>
      </c>
      <c r="O2" s="289" t="s">
        <v>444</v>
      </c>
      <c r="P2" s="289" t="s">
        <v>250</v>
      </c>
      <c r="Q2" s="289" t="s">
        <v>33</v>
      </c>
      <c r="R2" s="289" t="s">
        <v>445</v>
      </c>
      <c r="S2" s="289" t="s">
        <v>234</v>
      </c>
      <c r="T2" s="289" t="s">
        <v>30</v>
      </c>
      <c r="U2" s="289" t="s">
        <v>26</v>
      </c>
      <c r="V2" s="289" t="str">
        <f>CONCATENATE("Config - ", A2,", KuxKu Link, ","UL Beam: ",E2, ", ",I2, ", ",Q2, ", DL Beam: ",U2)</f>
        <v>Config - 97, KuxKu Link, UL Beam: WB-1, Ku RX-3, LCTWTA-1, DL Beam: WB-1</v>
      </c>
    </row>
    <row r="3" spans="1:22" ht="75" x14ac:dyDescent="0.25">
      <c r="A3" s="292">
        <v>98</v>
      </c>
      <c r="B3" s="293">
        <v>98</v>
      </c>
      <c r="C3" s="289">
        <v>14060</v>
      </c>
      <c r="D3" s="289">
        <v>11010</v>
      </c>
      <c r="E3" s="289" t="s">
        <v>26</v>
      </c>
      <c r="F3" s="289" t="s">
        <v>30</v>
      </c>
      <c r="G3" s="289" t="s">
        <v>73</v>
      </c>
      <c r="H3" s="289" t="s">
        <v>79</v>
      </c>
      <c r="I3" s="289" t="s">
        <v>526</v>
      </c>
      <c r="J3" s="289" t="s">
        <v>169</v>
      </c>
      <c r="K3" s="289" t="s">
        <v>74</v>
      </c>
      <c r="L3" s="289" t="s">
        <v>69</v>
      </c>
      <c r="M3" s="296"/>
      <c r="N3" s="296"/>
      <c r="O3" s="289" t="s">
        <v>52</v>
      </c>
      <c r="P3" s="289" t="s">
        <v>62</v>
      </c>
      <c r="Q3" s="289" t="s">
        <v>34</v>
      </c>
      <c r="R3" s="289" t="s">
        <v>57</v>
      </c>
      <c r="S3" s="289" t="s">
        <v>67</v>
      </c>
      <c r="T3" s="289" t="s">
        <v>30</v>
      </c>
      <c r="U3" s="289" t="s">
        <v>26</v>
      </c>
      <c r="V3" s="289" t="str">
        <f t="shared" ref="V3:V25" si="0">CONCATENATE("Config - ", A3,", KuxKu Link, ","UL Beam: ",E3, ", ",I3, ", ",Q3, ", DL Beam: ",U3)</f>
        <v>Config - 98, KuxKu Link, UL Beam: WB-1, Ku RX-3, LCTWTA-2, DL Beam: WB-1</v>
      </c>
    </row>
    <row r="4" spans="1:22" ht="75" x14ac:dyDescent="0.25">
      <c r="A4" s="292">
        <v>99</v>
      </c>
      <c r="B4" s="293">
        <v>99</v>
      </c>
      <c r="C4" s="289">
        <v>14100</v>
      </c>
      <c r="D4" s="289">
        <v>11050</v>
      </c>
      <c r="E4" s="289" t="s">
        <v>26</v>
      </c>
      <c r="F4" s="289" t="s">
        <v>30</v>
      </c>
      <c r="G4" s="289" t="s">
        <v>73</v>
      </c>
      <c r="H4" s="289" t="s">
        <v>79</v>
      </c>
      <c r="I4" s="289" t="s">
        <v>526</v>
      </c>
      <c r="J4" s="289" t="s">
        <v>169</v>
      </c>
      <c r="K4" s="289" t="s">
        <v>74</v>
      </c>
      <c r="L4" s="289" t="s">
        <v>69</v>
      </c>
      <c r="M4" s="296"/>
      <c r="N4" s="296"/>
      <c r="O4" s="289" t="s">
        <v>53</v>
      </c>
      <c r="P4" s="289" t="s">
        <v>63</v>
      </c>
      <c r="Q4" s="289" t="s">
        <v>37</v>
      </c>
      <c r="R4" s="289" t="s">
        <v>58</v>
      </c>
      <c r="S4" s="289" t="s">
        <v>63</v>
      </c>
      <c r="T4" s="289" t="s">
        <v>30</v>
      </c>
      <c r="U4" s="289" t="s">
        <v>26</v>
      </c>
      <c r="V4" s="289" t="str">
        <f t="shared" si="0"/>
        <v>Config - 99, KuxKu Link, UL Beam: WB-1, Ku RX-3, LCTWTA-3, DL Beam: WB-1</v>
      </c>
    </row>
    <row r="5" spans="1:22" ht="75" x14ac:dyDescent="0.25">
      <c r="A5" s="292">
        <v>100</v>
      </c>
      <c r="B5" s="297">
        <v>100</v>
      </c>
      <c r="C5" s="298">
        <v>14140</v>
      </c>
      <c r="D5" s="289">
        <v>11090</v>
      </c>
      <c r="E5" s="289" t="s">
        <v>27</v>
      </c>
      <c r="F5" s="289" t="s">
        <v>30</v>
      </c>
      <c r="G5" s="289" t="s">
        <v>75</v>
      </c>
      <c r="H5" s="289" t="s">
        <v>80</v>
      </c>
      <c r="I5" s="289" t="s">
        <v>527</v>
      </c>
      <c r="J5" s="289" t="s">
        <v>169</v>
      </c>
      <c r="K5" s="289" t="s">
        <v>77</v>
      </c>
      <c r="L5" s="289" t="s">
        <v>70</v>
      </c>
      <c r="M5" s="295" t="s">
        <v>87</v>
      </c>
      <c r="N5" s="295" t="s">
        <v>88</v>
      </c>
      <c r="O5" s="289" t="s">
        <v>54</v>
      </c>
      <c r="P5" s="289" t="s">
        <v>63</v>
      </c>
      <c r="Q5" s="289" t="s">
        <v>38</v>
      </c>
      <c r="R5" s="289" t="s">
        <v>59</v>
      </c>
      <c r="S5" s="289" t="s">
        <v>63</v>
      </c>
      <c r="T5" s="289" t="s">
        <v>30</v>
      </c>
      <c r="U5" s="289" t="s">
        <v>27</v>
      </c>
      <c r="V5" s="289" t="str">
        <f t="shared" si="0"/>
        <v>Config - 100, KuxKu Link, UL Beam: WB-2, Ku RX-4, LCTWTA-4, DL Beam: WB-2</v>
      </c>
    </row>
    <row r="6" spans="1:22" ht="75" x14ac:dyDescent="0.25">
      <c r="A6" s="292">
        <v>101</v>
      </c>
      <c r="B6" s="297">
        <v>101</v>
      </c>
      <c r="C6" s="289">
        <v>14180</v>
      </c>
      <c r="D6" s="289">
        <v>11130</v>
      </c>
      <c r="E6" s="289" t="s">
        <v>27</v>
      </c>
      <c r="F6" s="289" t="s">
        <v>30</v>
      </c>
      <c r="G6" s="289" t="s">
        <v>75</v>
      </c>
      <c r="H6" s="289" t="s">
        <v>80</v>
      </c>
      <c r="I6" s="289" t="s">
        <v>527</v>
      </c>
      <c r="J6" s="289" t="s">
        <v>169</v>
      </c>
      <c r="K6" s="289" t="s">
        <v>77</v>
      </c>
      <c r="L6" s="289" t="s">
        <v>70</v>
      </c>
      <c r="M6" s="296"/>
      <c r="N6" s="296"/>
      <c r="O6" s="289" t="s">
        <v>55</v>
      </c>
      <c r="P6" s="289" t="s">
        <v>64</v>
      </c>
      <c r="Q6" s="289" t="s">
        <v>39</v>
      </c>
      <c r="R6" s="289" t="s">
        <v>60</v>
      </c>
      <c r="S6" s="289" t="s">
        <v>69</v>
      </c>
      <c r="T6" s="289" t="s">
        <v>30</v>
      </c>
      <c r="U6" s="289" t="s">
        <v>27</v>
      </c>
      <c r="V6" s="289" t="str">
        <f t="shared" si="0"/>
        <v>Config - 101, KuxKu Link, UL Beam: WB-2, Ku RX-4, LCTWTA-5, DL Beam: WB-2</v>
      </c>
    </row>
    <row r="7" spans="1:22" ht="56.25" x14ac:dyDescent="0.25">
      <c r="A7" s="292">
        <v>102</v>
      </c>
      <c r="B7" s="297">
        <v>102</v>
      </c>
      <c r="C7" s="289">
        <v>14220</v>
      </c>
      <c r="D7" s="289">
        <v>11170</v>
      </c>
      <c r="E7" s="289" t="s">
        <v>27</v>
      </c>
      <c r="F7" s="289" t="s">
        <v>30</v>
      </c>
      <c r="G7" s="289" t="s">
        <v>75</v>
      </c>
      <c r="H7" s="289" t="s">
        <v>80</v>
      </c>
      <c r="I7" s="289" t="s">
        <v>527</v>
      </c>
      <c r="J7" s="289" t="s">
        <v>169</v>
      </c>
      <c r="K7" s="289" t="s">
        <v>77</v>
      </c>
      <c r="L7" s="289" t="s">
        <v>70</v>
      </c>
      <c r="M7" s="296"/>
      <c r="N7" s="296"/>
      <c r="O7" s="289" t="s">
        <v>56</v>
      </c>
      <c r="P7" s="289" t="s">
        <v>65</v>
      </c>
      <c r="Q7" s="289" t="s">
        <v>40</v>
      </c>
      <c r="R7" s="289" t="s">
        <v>61</v>
      </c>
      <c r="S7" s="289" t="s">
        <v>70</v>
      </c>
      <c r="T7" s="289" t="s">
        <v>30</v>
      </c>
      <c r="U7" s="289" t="s">
        <v>27</v>
      </c>
      <c r="V7" s="289" t="str">
        <f t="shared" si="0"/>
        <v>Config - 102, KuxKu Link, UL Beam: WB-2, Ku RX-4, LCTWTA-6, DL Beam: WB-2</v>
      </c>
    </row>
    <row r="8" spans="1:22" ht="75" x14ac:dyDescent="0.25">
      <c r="A8" s="292">
        <v>103</v>
      </c>
      <c r="B8" s="299">
        <v>103</v>
      </c>
      <c r="C8" s="289">
        <v>14020</v>
      </c>
      <c r="D8" s="289">
        <v>10970</v>
      </c>
      <c r="E8" s="300" t="s">
        <v>28</v>
      </c>
      <c r="F8" s="289" t="s">
        <v>32</v>
      </c>
      <c r="G8" s="289" t="s">
        <v>71</v>
      </c>
      <c r="H8" s="289" t="s">
        <v>81</v>
      </c>
      <c r="I8" s="289" t="s">
        <v>528</v>
      </c>
      <c r="J8" s="289" t="s">
        <v>169</v>
      </c>
      <c r="K8" s="289" t="s">
        <v>72</v>
      </c>
      <c r="L8" s="289" t="s">
        <v>84</v>
      </c>
      <c r="M8" s="295" t="s">
        <v>86</v>
      </c>
      <c r="N8" s="295" t="s">
        <v>83</v>
      </c>
      <c r="O8" s="289" t="s">
        <v>444</v>
      </c>
      <c r="P8" s="289" t="s">
        <v>250</v>
      </c>
      <c r="Q8" s="289" t="s">
        <v>33</v>
      </c>
      <c r="R8" s="289" t="s">
        <v>445</v>
      </c>
      <c r="S8" s="289" t="s">
        <v>234</v>
      </c>
      <c r="T8" s="289" t="s">
        <v>30</v>
      </c>
      <c r="U8" s="289" t="s">
        <v>26</v>
      </c>
      <c r="V8" s="289" t="str">
        <f t="shared" si="0"/>
        <v>Config - 103, KuxKu Link, UL Beam: SB-1, Ku RX-1, LCTWTA-1, DL Beam: WB-1</v>
      </c>
    </row>
    <row r="9" spans="1:22" ht="75" x14ac:dyDescent="0.25">
      <c r="A9" s="292">
        <v>104</v>
      </c>
      <c r="B9" s="298">
        <v>104</v>
      </c>
      <c r="C9" s="289">
        <v>14140</v>
      </c>
      <c r="D9" s="289">
        <v>11090</v>
      </c>
      <c r="E9" s="300" t="s">
        <v>29</v>
      </c>
      <c r="F9" s="289" t="s">
        <v>32</v>
      </c>
      <c r="G9" s="289" t="s">
        <v>76</v>
      </c>
      <c r="H9" s="289" t="s">
        <v>82</v>
      </c>
      <c r="I9" s="289" t="s">
        <v>529</v>
      </c>
      <c r="J9" s="289" t="s">
        <v>169</v>
      </c>
      <c r="K9" s="289" t="s">
        <v>78</v>
      </c>
      <c r="L9" s="289" t="s">
        <v>85</v>
      </c>
      <c r="M9" s="295" t="s">
        <v>87</v>
      </c>
      <c r="N9" s="295" t="s">
        <v>83</v>
      </c>
      <c r="O9" s="289" t="s">
        <v>54</v>
      </c>
      <c r="P9" s="289" t="s">
        <v>63</v>
      </c>
      <c r="Q9" s="289" t="s">
        <v>38</v>
      </c>
      <c r="R9" s="289" t="s">
        <v>59</v>
      </c>
      <c r="S9" s="289" t="s">
        <v>63</v>
      </c>
      <c r="T9" s="289" t="s">
        <v>30</v>
      </c>
      <c r="U9" s="289" t="s">
        <v>27</v>
      </c>
      <c r="V9" s="289" t="str">
        <f t="shared" si="0"/>
        <v>Config - 104, KuxKu Link, UL Beam: SB-2, Ku RX-2, LCTWTA-4, DL Beam: WB-2</v>
      </c>
    </row>
    <row r="10" spans="1:22" s="111" customFormat="1" ht="75" x14ac:dyDescent="0.25">
      <c r="A10" s="289">
        <v>108</v>
      </c>
      <c r="B10" s="293">
        <v>97</v>
      </c>
      <c r="C10" s="289">
        <v>14020</v>
      </c>
      <c r="D10" s="289">
        <v>10970</v>
      </c>
      <c r="E10" s="289" t="s">
        <v>26</v>
      </c>
      <c r="F10" s="289" t="s">
        <v>30</v>
      </c>
      <c r="G10" s="289" t="s">
        <v>73</v>
      </c>
      <c r="H10" s="289" t="s">
        <v>320</v>
      </c>
      <c r="I10" s="289" t="s">
        <v>529</v>
      </c>
      <c r="J10" s="289" t="s">
        <v>440</v>
      </c>
      <c r="K10" s="289" t="s">
        <v>74</v>
      </c>
      <c r="L10" s="289" t="s">
        <v>442</v>
      </c>
      <c r="M10" s="295" t="s">
        <v>86</v>
      </c>
      <c r="N10" s="295" t="s">
        <v>88</v>
      </c>
      <c r="O10" s="289" t="s">
        <v>444</v>
      </c>
      <c r="P10" s="289" t="s">
        <v>62</v>
      </c>
      <c r="Q10" s="289" t="s">
        <v>446</v>
      </c>
      <c r="R10" s="289" t="s">
        <v>445</v>
      </c>
      <c r="S10" s="289" t="s">
        <v>67</v>
      </c>
      <c r="T10" s="289" t="s">
        <v>30</v>
      </c>
      <c r="U10" s="289" t="s">
        <v>26</v>
      </c>
      <c r="V10" s="289" t="str">
        <f t="shared" si="0"/>
        <v>Config - 108, KuxKu Link, UL Beam: WB-1, Ku RX-2, LCTWTA-R1, DL Beam: WB-1</v>
      </c>
    </row>
    <row r="11" spans="1:22" s="111" customFormat="1" ht="75" x14ac:dyDescent="0.25">
      <c r="A11" s="289">
        <v>109</v>
      </c>
      <c r="B11" s="293">
        <v>98</v>
      </c>
      <c r="C11" s="289">
        <v>14060</v>
      </c>
      <c r="D11" s="289">
        <v>11010</v>
      </c>
      <c r="E11" s="289" t="s">
        <v>26</v>
      </c>
      <c r="F11" s="289" t="s">
        <v>30</v>
      </c>
      <c r="G11" s="289" t="s">
        <v>73</v>
      </c>
      <c r="H11" s="289" t="s">
        <v>320</v>
      </c>
      <c r="I11" s="289" t="s">
        <v>529</v>
      </c>
      <c r="J11" s="289" t="s">
        <v>440</v>
      </c>
      <c r="K11" s="289" t="s">
        <v>74</v>
      </c>
      <c r="L11" s="289" t="s">
        <v>442</v>
      </c>
      <c r="M11" s="296"/>
      <c r="N11" s="296"/>
      <c r="O11" s="289" t="s">
        <v>52</v>
      </c>
      <c r="P11" s="289" t="s">
        <v>229</v>
      </c>
      <c r="Q11" s="289" t="s">
        <v>446</v>
      </c>
      <c r="R11" s="289" t="s">
        <v>57</v>
      </c>
      <c r="S11" s="289" t="s">
        <v>233</v>
      </c>
      <c r="T11" s="289" t="s">
        <v>30</v>
      </c>
      <c r="U11" s="289" t="s">
        <v>26</v>
      </c>
      <c r="V11" s="289" t="str">
        <f t="shared" si="0"/>
        <v>Config - 109, KuxKu Link, UL Beam: WB-1, Ku RX-2, LCTWTA-R1, DL Beam: WB-1</v>
      </c>
    </row>
    <row r="12" spans="1:22" s="111" customFormat="1" ht="75" x14ac:dyDescent="0.25">
      <c r="A12" s="289">
        <v>110</v>
      </c>
      <c r="B12" s="293">
        <v>99</v>
      </c>
      <c r="C12" s="289">
        <v>14100</v>
      </c>
      <c r="D12" s="289">
        <v>11050</v>
      </c>
      <c r="E12" s="289" t="s">
        <v>26</v>
      </c>
      <c r="F12" s="289" t="s">
        <v>30</v>
      </c>
      <c r="G12" s="289" t="s">
        <v>73</v>
      </c>
      <c r="H12" s="289" t="s">
        <v>320</v>
      </c>
      <c r="I12" s="289" t="s">
        <v>529</v>
      </c>
      <c r="J12" s="289" t="s">
        <v>440</v>
      </c>
      <c r="K12" s="289" t="s">
        <v>74</v>
      </c>
      <c r="L12" s="289" t="s">
        <v>442</v>
      </c>
      <c r="M12" s="296"/>
      <c r="N12" s="296"/>
      <c r="O12" s="289" t="s">
        <v>53</v>
      </c>
      <c r="P12" s="289" t="s">
        <v>229</v>
      </c>
      <c r="Q12" s="289" t="s">
        <v>34</v>
      </c>
      <c r="R12" s="289" t="s">
        <v>58</v>
      </c>
      <c r="S12" s="289" t="s">
        <v>233</v>
      </c>
      <c r="T12" s="289" t="s">
        <v>30</v>
      </c>
      <c r="U12" s="289" t="s">
        <v>26</v>
      </c>
      <c r="V12" s="289" t="str">
        <f t="shared" si="0"/>
        <v>Config - 110, KuxKu Link, UL Beam: WB-1, Ku RX-2, LCTWTA-2, DL Beam: WB-1</v>
      </c>
    </row>
    <row r="13" spans="1:22" s="111" customFormat="1" ht="75" x14ac:dyDescent="0.25">
      <c r="A13" s="289">
        <v>111</v>
      </c>
      <c r="B13" s="297">
        <v>100</v>
      </c>
      <c r="C13" s="289">
        <v>14140</v>
      </c>
      <c r="D13" s="289">
        <v>11090</v>
      </c>
      <c r="E13" s="289" t="s">
        <v>27</v>
      </c>
      <c r="F13" s="289" t="s">
        <v>30</v>
      </c>
      <c r="G13" s="289" t="s">
        <v>75</v>
      </c>
      <c r="H13" s="289" t="s">
        <v>228</v>
      </c>
      <c r="I13" s="289" t="s">
        <v>526</v>
      </c>
      <c r="J13" s="289" t="s">
        <v>440</v>
      </c>
      <c r="K13" s="289" t="s">
        <v>77</v>
      </c>
      <c r="L13" s="289" t="s">
        <v>232</v>
      </c>
      <c r="M13" s="295" t="s">
        <v>87</v>
      </c>
      <c r="N13" s="295" t="s">
        <v>88</v>
      </c>
      <c r="O13" s="289" t="s">
        <v>54</v>
      </c>
      <c r="P13" s="289" t="s">
        <v>229</v>
      </c>
      <c r="Q13" s="289" t="s">
        <v>37</v>
      </c>
      <c r="R13" s="289" t="s">
        <v>59</v>
      </c>
      <c r="S13" s="289" t="s">
        <v>233</v>
      </c>
      <c r="T13" s="289" t="s">
        <v>30</v>
      </c>
      <c r="U13" s="289" t="s">
        <v>27</v>
      </c>
      <c r="V13" s="289" t="str">
        <f t="shared" si="0"/>
        <v>Config - 111, KuxKu Link, UL Beam: WB-2, Ku RX-3, LCTWTA-3, DL Beam: WB-2</v>
      </c>
    </row>
    <row r="14" spans="1:22" s="111" customFormat="1" ht="75" x14ac:dyDescent="0.25">
      <c r="A14" s="289">
        <v>112</v>
      </c>
      <c r="B14" s="297">
        <v>101</v>
      </c>
      <c r="C14" s="289">
        <v>14180</v>
      </c>
      <c r="D14" s="289">
        <v>11130</v>
      </c>
      <c r="E14" s="289" t="s">
        <v>27</v>
      </c>
      <c r="F14" s="289" t="s">
        <v>30</v>
      </c>
      <c r="G14" s="289" t="s">
        <v>75</v>
      </c>
      <c r="H14" s="289" t="s">
        <v>228</v>
      </c>
      <c r="I14" s="289" t="s">
        <v>526</v>
      </c>
      <c r="J14" s="289" t="s">
        <v>440</v>
      </c>
      <c r="K14" s="289" t="s">
        <v>77</v>
      </c>
      <c r="L14" s="289" t="s">
        <v>232</v>
      </c>
      <c r="M14" s="296"/>
      <c r="N14" s="296"/>
      <c r="O14" s="289" t="s">
        <v>55</v>
      </c>
      <c r="P14" s="289" t="s">
        <v>229</v>
      </c>
      <c r="Q14" s="289" t="s">
        <v>38</v>
      </c>
      <c r="R14" s="289" t="s">
        <v>60</v>
      </c>
      <c r="S14" s="289" t="s">
        <v>233</v>
      </c>
      <c r="T14" s="289" t="s">
        <v>30</v>
      </c>
      <c r="U14" s="289" t="s">
        <v>27</v>
      </c>
      <c r="V14" s="289" t="str">
        <f t="shared" si="0"/>
        <v>Config - 112, KuxKu Link, UL Beam: WB-2, Ku RX-3, LCTWTA-4, DL Beam: WB-2</v>
      </c>
    </row>
    <row r="15" spans="1:22" s="111" customFormat="1" ht="56.25" x14ac:dyDescent="0.25">
      <c r="A15" s="289">
        <v>113</v>
      </c>
      <c r="B15" s="297">
        <v>102</v>
      </c>
      <c r="C15" s="289">
        <v>14220</v>
      </c>
      <c r="D15" s="289">
        <v>11170</v>
      </c>
      <c r="E15" s="289" t="s">
        <v>27</v>
      </c>
      <c r="F15" s="289" t="s">
        <v>30</v>
      </c>
      <c r="G15" s="289" t="s">
        <v>75</v>
      </c>
      <c r="H15" s="289" t="s">
        <v>228</v>
      </c>
      <c r="I15" s="289" t="s">
        <v>526</v>
      </c>
      <c r="J15" s="289" t="s">
        <v>440</v>
      </c>
      <c r="K15" s="289" t="s">
        <v>77</v>
      </c>
      <c r="L15" s="289" t="s">
        <v>232</v>
      </c>
      <c r="M15" s="296"/>
      <c r="N15" s="296"/>
      <c r="O15" s="289" t="s">
        <v>56</v>
      </c>
      <c r="P15" s="289" t="s">
        <v>447</v>
      </c>
      <c r="Q15" s="289" t="s">
        <v>39</v>
      </c>
      <c r="R15" s="289" t="s">
        <v>61</v>
      </c>
      <c r="S15" s="289" t="s">
        <v>232</v>
      </c>
      <c r="T15" s="289" t="s">
        <v>30</v>
      </c>
      <c r="U15" s="289" t="s">
        <v>27</v>
      </c>
      <c r="V15" s="289" t="str">
        <f t="shared" si="0"/>
        <v>Config - 113, KuxKu Link, UL Beam: WB-2, Ku RX-3, LCTWTA-5, DL Beam: WB-2</v>
      </c>
    </row>
    <row r="16" spans="1:22" s="111" customFormat="1" ht="75" x14ac:dyDescent="0.25">
      <c r="A16" s="289">
        <v>114</v>
      </c>
      <c r="B16" s="299">
        <v>103</v>
      </c>
      <c r="C16" s="289">
        <v>14020</v>
      </c>
      <c r="D16" s="289">
        <v>10970</v>
      </c>
      <c r="E16" s="300" t="s">
        <v>28</v>
      </c>
      <c r="F16" s="289" t="s">
        <v>32</v>
      </c>
      <c r="G16" s="289" t="s">
        <v>71</v>
      </c>
      <c r="H16" s="289" t="s">
        <v>443</v>
      </c>
      <c r="I16" s="289" t="s">
        <v>530</v>
      </c>
      <c r="J16" s="289" t="s">
        <v>440</v>
      </c>
      <c r="K16" s="289" t="s">
        <v>72</v>
      </c>
      <c r="L16" s="289" t="s">
        <v>450</v>
      </c>
      <c r="M16" s="295" t="s">
        <v>86</v>
      </c>
      <c r="N16" s="295" t="s">
        <v>83</v>
      </c>
      <c r="O16" s="289" t="s">
        <v>444</v>
      </c>
      <c r="P16" s="289" t="s">
        <v>62</v>
      </c>
      <c r="Q16" s="289" t="s">
        <v>446</v>
      </c>
      <c r="R16" s="289" t="s">
        <v>445</v>
      </c>
      <c r="S16" s="289" t="s">
        <v>67</v>
      </c>
      <c r="T16" s="289" t="s">
        <v>30</v>
      </c>
      <c r="U16" s="289" t="s">
        <v>26</v>
      </c>
      <c r="V16" s="289" t="str">
        <f t="shared" si="0"/>
        <v>Config - 114, KuxKu Link, UL Beam: SB-1, Ku RX-R1, LCTWTA-R1, DL Beam: WB-1</v>
      </c>
    </row>
    <row r="17" spans="1:22" s="111" customFormat="1" ht="75" x14ac:dyDescent="0.25">
      <c r="A17" s="289">
        <v>115</v>
      </c>
      <c r="B17" s="298">
        <v>104</v>
      </c>
      <c r="C17" s="289">
        <v>14140</v>
      </c>
      <c r="D17" s="289">
        <v>11090</v>
      </c>
      <c r="E17" s="300" t="s">
        <v>29</v>
      </c>
      <c r="F17" s="289" t="s">
        <v>32</v>
      </c>
      <c r="G17" s="289" t="s">
        <v>76</v>
      </c>
      <c r="H17" s="289" t="s">
        <v>229</v>
      </c>
      <c r="I17" s="289" t="s">
        <v>530</v>
      </c>
      <c r="J17" s="289" t="s">
        <v>440</v>
      </c>
      <c r="K17" s="289" t="s">
        <v>78</v>
      </c>
      <c r="L17" s="289" t="s">
        <v>451</v>
      </c>
      <c r="M17" s="295" t="s">
        <v>87</v>
      </c>
      <c r="N17" s="295" t="s">
        <v>83</v>
      </c>
      <c r="O17" s="289" t="s">
        <v>54</v>
      </c>
      <c r="P17" s="289" t="s">
        <v>229</v>
      </c>
      <c r="Q17" s="289" t="s">
        <v>37</v>
      </c>
      <c r="R17" s="289" t="s">
        <v>59</v>
      </c>
      <c r="S17" s="289" t="s">
        <v>233</v>
      </c>
      <c r="T17" s="289" t="s">
        <v>30</v>
      </c>
      <c r="U17" s="289" t="s">
        <v>27</v>
      </c>
      <c r="V17" s="289" t="str">
        <f t="shared" si="0"/>
        <v>Config - 115, KuxKu Link, UL Beam: SB-2, Ku RX-R1, LCTWTA-3, DL Beam: WB-2</v>
      </c>
    </row>
    <row r="18" spans="1:22" s="111" customFormat="1" ht="75" x14ac:dyDescent="0.25">
      <c r="A18" s="289">
        <v>116</v>
      </c>
      <c r="B18" s="293">
        <v>97</v>
      </c>
      <c r="C18" s="289">
        <v>14020</v>
      </c>
      <c r="D18" s="289">
        <v>10970</v>
      </c>
      <c r="E18" s="289" t="s">
        <v>26</v>
      </c>
      <c r="F18" s="289" t="s">
        <v>30</v>
      </c>
      <c r="G18" s="289" t="s">
        <v>73</v>
      </c>
      <c r="H18" s="289" t="s">
        <v>233</v>
      </c>
      <c r="I18" s="289" t="s">
        <v>531</v>
      </c>
      <c r="J18" s="289" t="s">
        <v>441</v>
      </c>
      <c r="K18" s="289" t="s">
        <v>74</v>
      </c>
      <c r="L18" s="289" t="s">
        <v>229</v>
      </c>
      <c r="M18" s="295" t="s">
        <v>86</v>
      </c>
      <c r="N18" s="295" t="s">
        <v>88</v>
      </c>
      <c r="O18" s="289" t="s">
        <v>444</v>
      </c>
      <c r="P18" s="289" t="s">
        <v>321</v>
      </c>
      <c r="Q18" s="289" t="s">
        <v>34</v>
      </c>
      <c r="R18" s="289" t="s">
        <v>445</v>
      </c>
      <c r="S18" s="289" t="s">
        <v>448</v>
      </c>
      <c r="T18" s="289" t="s">
        <v>30</v>
      </c>
      <c r="U18" s="289" t="s">
        <v>26</v>
      </c>
      <c r="V18" s="289" t="str">
        <f t="shared" si="0"/>
        <v>Config - 116, KuxKu Link, UL Beam: WB-1, Ku RX-R2, LCTWTA-2, DL Beam: WB-1</v>
      </c>
    </row>
    <row r="19" spans="1:22" s="111" customFormat="1" ht="75" x14ac:dyDescent="0.25">
      <c r="A19" s="289">
        <v>117</v>
      </c>
      <c r="B19" s="293">
        <v>98</v>
      </c>
      <c r="C19" s="289">
        <v>14060</v>
      </c>
      <c r="D19" s="289">
        <v>11010</v>
      </c>
      <c r="E19" s="289" t="s">
        <v>26</v>
      </c>
      <c r="F19" s="289" t="s">
        <v>30</v>
      </c>
      <c r="G19" s="289" t="s">
        <v>73</v>
      </c>
      <c r="H19" s="289" t="s">
        <v>233</v>
      </c>
      <c r="I19" s="289" t="s">
        <v>531</v>
      </c>
      <c r="J19" s="289" t="s">
        <v>441</v>
      </c>
      <c r="K19" s="289" t="s">
        <v>74</v>
      </c>
      <c r="L19" s="289" t="s">
        <v>229</v>
      </c>
      <c r="M19" s="296"/>
      <c r="N19" s="296"/>
      <c r="O19" s="289" t="s">
        <v>52</v>
      </c>
      <c r="P19" s="289" t="s">
        <v>233</v>
      </c>
      <c r="Q19" s="289" t="s">
        <v>37</v>
      </c>
      <c r="R19" s="289" t="s">
        <v>57</v>
      </c>
      <c r="S19" s="289" t="s">
        <v>229</v>
      </c>
      <c r="T19" s="289" t="s">
        <v>30</v>
      </c>
      <c r="U19" s="289" t="s">
        <v>26</v>
      </c>
      <c r="V19" s="289" t="str">
        <f t="shared" si="0"/>
        <v>Config - 117, KuxKu Link, UL Beam: WB-1, Ku RX-R2, LCTWTA-3, DL Beam: WB-1</v>
      </c>
    </row>
    <row r="20" spans="1:22" s="111" customFormat="1" ht="75" x14ac:dyDescent="0.25">
      <c r="A20" s="289">
        <v>118</v>
      </c>
      <c r="B20" s="293">
        <v>99</v>
      </c>
      <c r="C20" s="289">
        <v>14100</v>
      </c>
      <c r="D20" s="289">
        <v>11050</v>
      </c>
      <c r="E20" s="289" t="s">
        <v>26</v>
      </c>
      <c r="F20" s="289" t="s">
        <v>30</v>
      </c>
      <c r="G20" s="289" t="s">
        <v>73</v>
      </c>
      <c r="H20" s="289" t="s">
        <v>233</v>
      </c>
      <c r="I20" s="289" t="s">
        <v>531</v>
      </c>
      <c r="J20" s="289" t="s">
        <v>441</v>
      </c>
      <c r="K20" s="289" t="s">
        <v>74</v>
      </c>
      <c r="L20" s="289" t="s">
        <v>229</v>
      </c>
      <c r="M20" s="296"/>
      <c r="N20" s="296"/>
      <c r="O20" s="289" t="s">
        <v>53</v>
      </c>
      <c r="P20" s="289" t="s">
        <v>233</v>
      </c>
      <c r="Q20" s="289" t="s">
        <v>38</v>
      </c>
      <c r="R20" s="289" t="s">
        <v>58</v>
      </c>
      <c r="S20" s="289" t="s">
        <v>229</v>
      </c>
      <c r="T20" s="289" t="s">
        <v>30</v>
      </c>
      <c r="U20" s="289" t="s">
        <v>26</v>
      </c>
      <c r="V20" s="289" t="str">
        <f t="shared" si="0"/>
        <v>Config - 118, KuxKu Link, UL Beam: WB-1, Ku RX-R2, LCTWTA-4, DL Beam: WB-1</v>
      </c>
    </row>
    <row r="21" spans="1:22" s="111" customFormat="1" ht="75" x14ac:dyDescent="0.25">
      <c r="A21" s="289">
        <v>119</v>
      </c>
      <c r="B21" s="297">
        <v>100</v>
      </c>
      <c r="C21" s="289">
        <v>14140</v>
      </c>
      <c r="D21" s="289">
        <v>11090</v>
      </c>
      <c r="E21" s="289" t="s">
        <v>27</v>
      </c>
      <c r="F21" s="289" t="s">
        <v>30</v>
      </c>
      <c r="G21" s="289" t="s">
        <v>75</v>
      </c>
      <c r="H21" s="289" t="s">
        <v>443</v>
      </c>
      <c r="I21" s="289" t="s">
        <v>531</v>
      </c>
      <c r="J21" s="289" t="s">
        <v>441</v>
      </c>
      <c r="K21" s="289" t="s">
        <v>77</v>
      </c>
      <c r="L21" s="289" t="s">
        <v>251</v>
      </c>
      <c r="M21" s="295" t="s">
        <v>87</v>
      </c>
      <c r="N21" s="295" t="s">
        <v>88</v>
      </c>
      <c r="O21" s="289" t="s">
        <v>54</v>
      </c>
      <c r="P21" s="289" t="s">
        <v>233</v>
      </c>
      <c r="Q21" s="289" t="s">
        <v>39</v>
      </c>
      <c r="R21" s="289" t="s">
        <v>59</v>
      </c>
      <c r="S21" s="289" t="s">
        <v>229</v>
      </c>
      <c r="T21" s="289" t="s">
        <v>30</v>
      </c>
      <c r="U21" s="289" t="s">
        <v>27</v>
      </c>
      <c r="V21" s="289" t="str">
        <f t="shared" si="0"/>
        <v>Config - 119, KuxKu Link, UL Beam: WB-2, Ku RX-R2, LCTWTA-5, DL Beam: WB-2</v>
      </c>
    </row>
    <row r="22" spans="1:22" s="111" customFormat="1" ht="75" x14ac:dyDescent="0.25">
      <c r="A22" s="289">
        <v>120</v>
      </c>
      <c r="B22" s="297">
        <v>101</v>
      </c>
      <c r="C22" s="289">
        <v>14180</v>
      </c>
      <c r="D22" s="289">
        <v>11130</v>
      </c>
      <c r="E22" s="289" t="s">
        <v>27</v>
      </c>
      <c r="F22" s="289" t="s">
        <v>30</v>
      </c>
      <c r="G22" s="289" t="s">
        <v>75</v>
      </c>
      <c r="H22" s="289" t="s">
        <v>443</v>
      </c>
      <c r="I22" s="289" t="s">
        <v>531</v>
      </c>
      <c r="J22" s="289" t="s">
        <v>441</v>
      </c>
      <c r="K22" s="289" t="s">
        <v>77</v>
      </c>
      <c r="L22" s="289" t="s">
        <v>251</v>
      </c>
      <c r="M22" s="296"/>
      <c r="N22" s="296"/>
      <c r="O22" s="289" t="s">
        <v>55</v>
      </c>
      <c r="P22" s="289" t="s">
        <v>233</v>
      </c>
      <c r="Q22" s="289" t="s">
        <v>449</v>
      </c>
      <c r="R22" s="289" t="s">
        <v>60</v>
      </c>
      <c r="S22" s="289" t="s">
        <v>229</v>
      </c>
      <c r="T22" s="289" t="s">
        <v>30</v>
      </c>
      <c r="U22" s="289" t="s">
        <v>27</v>
      </c>
      <c r="V22" s="289" t="str">
        <f t="shared" si="0"/>
        <v>Config - 120, KuxKu Link, UL Beam: WB-2, Ku RX-R2, LCTWTA-R2, DL Beam: WB-2</v>
      </c>
    </row>
    <row r="23" spans="1:22" s="111" customFormat="1" ht="56.25" x14ac:dyDescent="0.25">
      <c r="A23" s="289">
        <v>121</v>
      </c>
      <c r="B23" s="297">
        <v>102</v>
      </c>
      <c r="C23" s="289">
        <v>14220</v>
      </c>
      <c r="D23" s="289">
        <v>11170</v>
      </c>
      <c r="E23" s="289" t="s">
        <v>27</v>
      </c>
      <c r="F23" s="289" t="s">
        <v>30</v>
      </c>
      <c r="G23" s="289" t="s">
        <v>75</v>
      </c>
      <c r="H23" s="289" t="s">
        <v>443</v>
      </c>
      <c r="I23" s="289" t="s">
        <v>531</v>
      </c>
      <c r="J23" s="289" t="s">
        <v>441</v>
      </c>
      <c r="K23" s="289" t="s">
        <v>77</v>
      </c>
      <c r="L23" s="289" t="s">
        <v>251</v>
      </c>
      <c r="M23" s="296"/>
      <c r="N23" s="296"/>
      <c r="O23" s="289" t="s">
        <v>56</v>
      </c>
      <c r="P23" s="289" t="s">
        <v>84</v>
      </c>
      <c r="Q23" s="289" t="s">
        <v>449</v>
      </c>
      <c r="R23" s="289" t="s">
        <v>61</v>
      </c>
      <c r="S23" s="289" t="s">
        <v>68</v>
      </c>
      <c r="T23" s="289" t="s">
        <v>30</v>
      </c>
      <c r="U23" s="289" t="s">
        <v>27</v>
      </c>
      <c r="V23" s="289" t="str">
        <f t="shared" si="0"/>
        <v>Config - 121, KuxKu Link, UL Beam: WB-2, Ku RX-R2, LCTWTA-R2, DL Beam: WB-2</v>
      </c>
    </row>
    <row r="24" spans="1:22" s="111" customFormat="1" ht="75" x14ac:dyDescent="0.25">
      <c r="A24" s="289">
        <v>122</v>
      </c>
      <c r="B24" s="299">
        <v>103</v>
      </c>
      <c r="C24" s="289">
        <v>14020</v>
      </c>
      <c r="D24" s="289">
        <v>10970</v>
      </c>
      <c r="E24" s="300" t="s">
        <v>28</v>
      </c>
      <c r="F24" s="289" t="s">
        <v>32</v>
      </c>
      <c r="G24" s="289" t="s">
        <v>71</v>
      </c>
      <c r="H24" s="289" t="s">
        <v>232</v>
      </c>
      <c r="I24" s="289" t="s">
        <v>529</v>
      </c>
      <c r="J24" s="289" t="s">
        <v>441</v>
      </c>
      <c r="K24" s="289" t="s">
        <v>72</v>
      </c>
      <c r="L24" s="289" t="s">
        <v>447</v>
      </c>
      <c r="M24" s="295" t="s">
        <v>86</v>
      </c>
      <c r="N24" s="295" t="s">
        <v>83</v>
      </c>
      <c r="O24" s="289" t="s">
        <v>444</v>
      </c>
      <c r="P24" s="289" t="s">
        <v>321</v>
      </c>
      <c r="Q24" s="289" t="s">
        <v>34</v>
      </c>
      <c r="R24" s="289" t="s">
        <v>445</v>
      </c>
      <c r="S24" s="289" t="s">
        <v>448</v>
      </c>
      <c r="T24" s="289" t="s">
        <v>30</v>
      </c>
      <c r="U24" s="289" t="s">
        <v>26</v>
      </c>
      <c r="V24" s="289" t="str">
        <f t="shared" si="0"/>
        <v>Config - 122, KuxKu Link, UL Beam: SB-1, Ku RX-2, LCTWTA-2, DL Beam: WB-1</v>
      </c>
    </row>
    <row r="25" spans="1:22" s="111" customFormat="1" ht="75" x14ac:dyDescent="0.25">
      <c r="A25" s="289">
        <v>123</v>
      </c>
      <c r="B25" s="298">
        <v>104</v>
      </c>
      <c r="C25" s="289">
        <v>14140</v>
      </c>
      <c r="D25" s="289">
        <v>11090</v>
      </c>
      <c r="E25" s="300" t="s">
        <v>29</v>
      </c>
      <c r="F25" s="289" t="s">
        <v>32</v>
      </c>
      <c r="G25" s="289" t="s">
        <v>76</v>
      </c>
      <c r="H25" s="289" t="s">
        <v>233</v>
      </c>
      <c r="I25" s="289" t="s">
        <v>526</v>
      </c>
      <c r="J25" s="289" t="s">
        <v>441</v>
      </c>
      <c r="K25" s="289" t="s">
        <v>78</v>
      </c>
      <c r="L25" s="289" t="s">
        <v>452</v>
      </c>
      <c r="M25" s="295" t="s">
        <v>87</v>
      </c>
      <c r="N25" s="295" t="s">
        <v>83</v>
      </c>
      <c r="O25" s="289" t="s">
        <v>54</v>
      </c>
      <c r="P25" s="289" t="s">
        <v>233</v>
      </c>
      <c r="Q25" s="289" t="s">
        <v>39</v>
      </c>
      <c r="R25" s="289" t="s">
        <v>59</v>
      </c>
      <c r="S25" s="289" t="s">
        <v>229</v>
      </c>
      <c r="T25" s="289" t="s">
        <v>30</v>
      </c>
      <c r="U25" s="289" t="s">
        <v>27</v>
      </c>
      <c r="V25" s="289" t="str">
        <f t="shared" si="0"/>
        <v>Config - 123, KuxKu Link, UL Beam: SB-2, Ku RX-3, LCTWTA-5, DL Beam: WB-2</v>
      </c>
    </row>
  </sheetData>
  <autoFilter ref="A1:U25"/>
  <pageMargins left="0.7" right="0.7" top="0.75" bottom="0.75" header="0.3" footer="0.3"/>
  <pageSetup paperSize="8" scale="41" fitToHeight="0" orientation="landscape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9"/>
  <sheetViews>
    <sheetView zoomScale="70" zoomScaleNormal="70" workbookViewId="0">
      <pane ySplit="1" topLeftCell="A2" activePane="bottomLeft" state="frozen"/>
      <selection activeCell="P1" sqref="P1"/>
      <selection pane="bottomLeft" sqref="A1:XFD1"/>
    </sheetView>
  </sheetViews>
  <sheetFormatPr defaultColWidth="9.140625" defaultRowHeight="15" x14ac:dyDescent="0.25"/>
  <cols>
    <col min="1" max="4" width="9.140625" style="109"/>
    <col min="5" max="5" width="21.28515625" style="109" bestFit="1" customWidth="1"/>
    <col min="6" max="6" width="12.28515625" style="109" bestFit="1" customWidth="1"/>
    <col min="7" max="7" width="16.28515625" style="109" customWidth="1"/>
    <col min="8" max="8" width="19.140625" style="109" bestFit="1" customWidth="1"/>
    <col min="9" max="9" width="9.140625" style="109"/>
    <col min="10" max="10" width="17.28515625" style="109" customWidth="1"/>
    <col min="11" max="11" width="19.140625" style="109" bestFit="1" customWidth="1"/>
    <col min="12" max="12" width="16.7109375" style="62" customWidth="1"/>
    <col min="13" max="14" width="20.28515625" style="62" customWidth="1"/>
    <col min="15" max="15" width="17.5703125" style="62" customWidth="1"/>
    <col min="16" max="16" width="18.5703125" style="62" customWidth="1"/>
    <col min="17" max="17" width="14.28515625" style="109" customWidth="1"/>
    <col min="18" max="18" width="89.42578125" style="62" bestFit="1" customWidth="1"/>
    <col min="19" max="16384" width="9.140625" style="109"/>
  </cols>
  <sheetData>
    <row r="1" spans="1:18" s="114" customFormat="1" ht="37.5" x14ac:dyDescent="0.25">
      <c r="A1" s="289" t="s">
        <v>23</v>
      </c>
      <c r="B1" s="289" t="s">
        <v>31</v>
      </c>
      <c r="C1" s="289" t="s">
        <v>35</v>
      </c>
      <c r="D1" s="289" t="s">
        <v>36</v>
      </c>
      <c r="E1" s="289" t="s">
        <v>25</v>
      </c>
      <c r="F1" s="289" t="s">
        <v>89</v>
      </c>
      <c r="G1" s="289" t="s">
        <v>92</v>
      </c>
      <c r="H1" s="289" t="s">
        <v>93</v>
      </c>
      <c r="I1" s="289" t="s">
        <v>94</v>
      </c>
      <c r="J1" s="289" t="s">
        <v>95</v>
      </c>
      <c r="K1" s="289" t="s">
        <v>96</v>
      </c>
      <c r="L1" s="303" t="s">
        <v>426</v>
      </c>
      <c r="M1" s="303" t="s">
        <v>427</v>
      </c>
      <c r="N1" s="303" t="s">
        <v>428</v>
      </c>
      <c r="O1" s="303" t="s">
        <v>429</v>
      </c>
      <c r="P1" s="303" t="s">
        <v>430</v>
      </c>
      <c r="Q1" s="289" t="s">
        <v>90</v>
      </c>
      <c r="R1" s="303" t="s">
        <v>524</v>
      </c>
    </row>
    <row r="2" spans="1:18" ht="56.25" x14ac:dyDescent="0.25">
      <c r="A2" s="304">
        <v>95</v>
      </c>
      <c r="B2" s="302">
        <v>95</v>
      </c>
      <c r="C2" s="302">
        <v>6325</v>
      </c>
      <c r="D2" s="302">
        <v>4100</v>
      </c>
      <c r="E2" s="302" t="s">
        <v>91</v>
      </c>
      <c r="F2" s="302" t="s">
        <v>26</v>
      </c>
      <c r="G2" s="302" t="s">
        <v>195</v>
      </c>
      <c r="H2" s="302" t="s">
        <v>278</v>
      </c>
      <c r="I2" s="302" t="s">
        <v>97</v>
      </c>
      <c r="J2" s="289" t="s">
        <v>196</v>
      </c>
      <c r="K2" s="289" t="s">
        <v>277</v>
      </c>
      <c r="L2" s="303" t="s">
        <v>434</v>
      </c>
      <c r="M2" s="303" t="s">
        <v>380</v>
      </c>
      <c r="N2" s="303" t="s">
        <v>431</v>
      </c>
      <c r="O2" s="303" t="s">
        <v>436</v>
      </c>
      <c r="P2" s="303" t="s">
        <v>380</v>
      </c>
      <c r="Q2" s="302" t="s">
        <v>26</v>
      </c>
      <c r="R2" s="289" t="str">
        <f>CONCATENATE("Config - ",A2, ", CxC Link, ","UL Beam: ",F2, ", ",I2, ", ",N2, ", DL Beam: ",Q2)</f>
        <v>Config - 95, CxC Link, UL Beam: WB-1, C RX-1, C TWTA-1, DL Beam: WB-1</v>
      </c>
    </row>
    <row r="3" spans="1:18" ht="56.25" x14ac:dyDescent="0.25">
      <c r="A3" s="302">
        <v>124</v>
      </c>
      <c r="B3" s="302">
        <v>95</v>
      </c>
      <c r="C3" s="302">
        <v>6325</v>
      </c>
      <c r="D3" s="302">
        <v>4100</v>
      </c>
      <c r="E3" s="302" t="s">
        <v>91</v>
      </c>
      <c r="F3" s="302" t="s">
        <v>26</v>
      </c>
      <c r="G3" s="302" t="s">
        <v>195</v>
      </c>
      <c r="H3" s="302" t="s">
        <v>279</v>
      </c>
      <c r="I3" s="302" t="s">
        <v>274</v>
      </c>
      <c r="J3" s="289" t="s">
        <v>196</v>
      </c>
      <c r="K3" s="289" t="s">
        <v>70</v>
      </c>
      <c r="L3" s="303" t="s">
        <v>434</v>
      </c>
      <c r="M3" s="303" t="s">
        <v>380</v>
      </c>
      <c r="N3" s="303" t="s">
        <v>431</v>
      </c>
      <c r="O3" s="303" t="s">
        <v>436</v>
      </c>
      <c r="P3" s="303" t="s">
        <v>380</v>
      </c>
      <c r="Q3" s="302" t="s">
        <v>26</v>
      </c>
      <c r="R3" s="289" t="str">
        <f t="shared" ref="R3:R9" si="0">CONCATENATE("Config - ",A3, ", CxC Link, ","UL Beam: ",F3, ", ",I3, ", ",N3, ", DL Beam: ",Q3)</f>
        <v>Config - 124, CxC Link, UL Beam: WB-1, C RX-R1, C TWTA-1, DL Beam: WB-1</v>
      </c>
    </row>
    <row r="4" spans="1:18" ht="56.25" x14ac:dyDescent="0.25">
      <c r="A4" s="302">
        <v>125</v>
      </c>
      <c r="B4" s="302">
        <v>95</v>
      </c>
      <c r="C4" s="302">
        <v>6325</v>
      </c>
      <c r="D4" s="302">
        <v>4100</v>
      </c>
      <c r="E4" s="302" t="s">
        <v>91</v>
      </c>
      <c r="F4" s="302" t="s">
        <v>26</v>
      </c>
      <c r="G4" s="302" t="s">
        <v>195</v>
      </c>
      <c r="H4" s="302" t="s">
        <v>232</v>
      </c>
      <c r="I4" s="302" t="s">
        <v>275</v>
      </c>
      <c r="J4" s="289" t="s">
        <v>196</v>
      </c>
      <c r="K4" s="289" t="s">
        <v>228</v>
      </c>
      <c r="L4" s="303" t="s">
        <v>434</v>
      </c>
      <c r="M4" s="303" t="s">
        <v>380</v>
      </c>
      <c r="N4" s="303" t="s">
        <v>431</v>
      </c>
      <c r="O4" s="303" t="s">
        <v>436</v>
      </c>
      <c r="P4" s="303" t="s">
        <v>380</v>
      </c>
      <c r="Q4" s="302" t="s">
        <v>26</v>
      </c>
      <c r="R4" s="289" t="str">
        <f t="shared" si="0"/>
        <v>Config - 125, CxC Link, UL Beam: WB-1, C RX-R2, C TWTA-1, DL Beam: WB-1</v>
      </c>
    </row>
    <row r="5" spans="1:18" ht="56.25" x14ac:dyDescent="0.25">
      <c r="A5" s="289">
        <v>126</v>
      </c>
      <c r="B5" s="302">
        <v>95</v>
      </c>
      <c r="C5" s="302">
        <v>6325</v>
      </c>
      <c r="D5" s="302">
        <v>4100</v>
      </c>
      <c r="E5" s="289" t="s">
        <v>91</v>
      </c>
      <c r="F5" s="305" t="s">
        <v>26</v>
      </c>
      <c r="G5" s="289" t="s">
        <v>195</v>
      </c>
      <c r="H5" s="289" t="s">
        <v>279</v>
      </c>
      <c r="I5" s="305" t="s">
        <v>274</v>
      </c>
      <c r="J5" s="289" t="s">
        <v>196</v>
      </c>
      <c r="K5" s="289" t="s">
        <v>70</v>
      </c>
      <c r="L5" s="303" t="s">
        <v>434</v>
      </c>
      <c r="M5" s="303" t="s">
        <v>88</v>
      </c>
      <c r="N5" s="303" t="s">
        <v>432</v>
      </c>
      <c r="O5" s="303" t="s">
        <v>436</v>
      </c>
      <c r="P5" s="303" t="s">
        <v>438</v>
      </c>
      <c r="Q5" s="305" t="s">
        <v>26</v>
      </c>
      <c r="R5" s="289" t="str">
        <f t="shared" si="0"/>
        <v>Config - 126, CxC Link, UL Beam: WB-1, C RX-R1, C TWTA-R1, DL Beam: WB-1</v>
      </c>
    </row>
    <row r="6" spans="1:18" ht="56.25" x14ac:dyDescent="0.25">
      <c r="A6" s="292">
        <v>96</v>
      </c>
      <c r="B6" s="300">
        <v>96</v>
      </c>
      <c r="C6" s="300">
        <v>6365</v>
      </c>
      <c r="D6" s="300">
        <v>4140</v>
      </c>
      <c r="E6" s="300" t="s">
        <v>91</v>
      </c>
      <c r="F6" s="305" t="s">
        <v>27</v>
      </c>
      <c r="G6" s="300" t="s">
        <v>195</v>
      </c>
      <c r="H6" s="300" t="s">
        <v>278</v>
      </c>
      <c r="I6" s="305" t="s">
        <v>276</v>
      </c>
      <c r="J6" s="289" t="s">
        <v>196</v>
      </c>
      <c r="K6" s="289" t="s">
        <v>277</v>
      </c>
      <c r="L6" s="303" t="s">
        <v>435</v>
      </c>
      <c r="M6" s="303" t="s">
        <v>68</v>
      </c>
      <c r="N6" s="303" t="s">
        <v>433</v>
      </c>
      <c r="O6" s="303" t="s">
        <v>437</v>
      </c>
      <c r="P6" s="303" t="s">
        <v>81</v>
      </c>
      <c r="Q6" s="305" t="s">
        <v>27</v>
      </c>
      <c r="R6" s="289" t="str">
        <f t="shared" si="0"/>
        <v>Config - 96, CxC Link, UL Beam: WB-2, C RX-2, C TWTA-2, DL Beam: WB-2</v>
      </c>
    </row>
    <row r="7" spans="1:18" ht="56.25" x14ac:dyDescent="0.25">
      <c r="A7" s="300">
        <v>127</v>
      </c>
      <c r="B7" s="300">
        <v>96</v>
      </c>
      <c r="C7" s="300">
        <v>6365</v>
      </c>
      <c r="D7" s="300">
        <v>4140</v>
      </c>
      <c r="E7" s="300" t="s">
        <v>91</v>
      </c>
      <c r="F7" s="305" t="s">
        <v>27</v>
      </c>
      <c r="G7" s="300" t="s">
        <v>195</v>
      </c>
      <c r="H7" s="300" t="s">
        <v>68</v>
      </c>
      <c r="I7" s="305" t="s">
        <v>275</v>
      </c>
      <c r="J7" s="289" t="s">
        <v>196</v>
      </c>
      <c r="K7" s="289" t="s">
        <v>66</v>
      </c>
      <c r="L7" s="303" t="s">
        <v>435</v>
      </c>
      <c r="M7" s="303" t="s">
        <v>68</v>
      </c>
      <c r="N7" s="303" t="s">
        <v>433</v>
      </c>
      <c r="O7" s="303" t="s">
        <v>437</v>
      </c>
      <c r="P7" s="303" t="s">
        <v>81</v>
      </c>
      <c r="Q7" s="305" t="s">
        <v>27</v>
      </c>
      <c r="R7" s="289" t="str">
        <f t="shared" si="0"/>
        <v>Config - 127, CxC Link, UL Beam: WB-2, C RX-R2, C TWTA-2, DL Beam: WB-2</v>
      </c>
    </row>
    <row r="8" spans="1:18" ht="56.25" x14ac:dyDescent="0.25">
      <c r="A8" s="300">
        <v>128</v>
      </c>
      <c r="B8" s="300">
        <v>96</v>
      </c>
      <c r="C8" s="300">
        <v>6365</v>
      </c>
      <c r="D8" s="300">
        <v>4140</v>
      </c>
      <c r="E8" s="300" t="s">
        <v>91</v>
      </c>
      <c r="F8" s="305" t="s">
        <v>27</v>
      </c>
      <c r="G8" s="300" t="s">
        <v>195</v>
      </c>
      <c r="H8" s="300" t="s">
        <v>228</v>
      </c>
      <c r="I8" s="305" t="s">
        <v>274</v>
      </c>
      <c r="J8" s="289" t="s">
        <v>196</v>
      </c>
      <c r="K8" s="289" t="s">
        <v>232</v>
      </c>
      <c r="L8" s="303" t="s">
        <v>435</v>
      </c>
      <c r="M8" s="303" t="s">
        <v>68</v>
      </c>
      <c r="N8" s="303" t="s">
        <v>433</v>
      </c>
      <c r="O8" s="303" t="s">
        <v>437</v>
      </c>
      <c r="P8" s="303" t="s">
        <v>81</v>
      </c>
      <c r="Q8" s="305" t="s">
        <v>27</v>
      </c>
      <c r="R8" s="289" t="str">
        <f t="shared" si="0"/>
        <v>Config - 128, CxC Link, UL Beam: WB-2, C RX-R1, C TWTA-2, DL Beam: WB-2</v>
      </c>
    </row>
    <row r="9" spans="1:18" ht="56.25" x14ac:dyDescent="0.25">
      <c r="A9" s="303">
        <v>129</v>
      </c>
      <c r="B9" s="300">
        <v>96</v>
      </c>
      <c r="C9" s="300">
        <v>6365</v>
      </c>
      <c r="D9" s="300">
        <v>4140</v>
      </c>
      <c r="E9" s="303" t="s">
        <v>91</v>
      </c>
      <c r="F9" s="285" t="s">
        <v>27</v>
      </c>
      <c r="G9" s="303" t="s">
        <v>195</v>
      </c>
      <c r="H9" s="303" t="s">
        <v>68</v>
      </c>
      <c r="I9" s="285" t="s">
        <v>275</v>
      </c>
      <c r="J9" s="289" t="s">
        <v>196</v>
      </c>
      <c r="K9" s="289" t="s">
        <v>66</v>
      </c>
      <c r="L9" s="303" t="s">
        <v>435</v>
      </c>
      <c r="M9" s="303" t="s">
        <v>228</v>
      </c>
      <c r="N9" s="303" t="s">
        <v>432</v>
      </c>
      <c r="O9" s="303" t="s">
        <v>437</v>
      </c>
      <c r="P9" s="303" t="s">
        <v>228</v>
      </c>
      <c r="Q9" s="285" t="s">
        <v>27</v>
      </c>
      <c r="R9" s="289" t="str">
        <f t="shared" si="0"/>
        <v>Config - 129, CxC Link, UL Beam: WB-2, C RX-R2, C TWTA-R1, DL Beam: WB-2</v>
      </c>
    </row>
  </sheetData>
  <autoFilter ref="A1:R9"/>
  <pageMargins left="0.7" right="0.7" top="0.75" bottom="0.75" header="0.3" footer="0.3"/>
  <pageSetup paperSize="8" scale="55" fitToHeight="0" orientation="landscape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10"/>
  <sheetViews>
    <sheetView zoomScale="85" zoomScaleNormal="85" workbookViewId="0">
      <pane ySplit="1" topLeftCell="A2" activePane="bottomLeft" state="frozen"/>
      <selection activeCell="P1" sqref="P1"/>
      <selection pane="bottomLeft" activeCell="A2" sqref="A2:XFD10"/>
    </sheetView>
  </sheetViews>
  <sheetFormatPr defaultColWidth="9.140625" defaultRowHeight="15" x14ac:dyDescent="0.25"/>
  <cols>
    <col min="1" max="1" width="13" style="109" bestFit="1" customWidth="1"/>
    <col min="2" max="2" width="15" style="109" bestFit="1" customWidth="1"/>
    <col min="3" max="3" width="13.140625" style="109" bestFit="1" customWidth="1"/>
    <col min="4" max="4" width="16.5703125" style="109" bestFit="1" customWidth="1"/>
    <col min="5" max="5" width="21.28515625" style="109" bestFit="1" customWidth="1"/>
    <col min="6" max="6" width="20.28515625" style="109" bestFit="1" customWidth="1"/>
    <col min="7" max="7" width="16.5703125" style="109" customWidth="1"/>
    <col min="8" max="8" width="23.28515625" style="109" bestFit="1" customWidth="1"/>
    <col min="9" max="9" width="10.85546875" style="109" bestFit="1" customWidth="1"/>
    <col min="10" max="10" width="17.42578125" style="109" customWidth="1"/>
    <col min="11" max="11" width="18" style="109" customWidth="1"/>
    <col min="12" max="12" width="23.85546875" style="62" bestFit="1" customWidth="1"/>
    <col min="13" max="13" width="29.140625" style="62" bestFit="1" customWidth="1"/>
    <col min="14" max="14" width="23.140625" style="62" bestFit="1" customWidth="1"/>
    <col min="15" max="15" width="14.28515625" style="62" customWidth="1"/>
    <col min="16" max="16" width="15.85546875" style="62" bestFit="1" customWidth="1"/>
    <col min="17" max="17" width="12.85546875" style="62" customWidth="1"/>
    <col min="18" max="18" width="15.7109375" style="62" customWidth="1"/>
    <col min="19" max="19" width="18.28515625" style="62" customWidth="1"/>
    <col min="20" max="20" width="25" style="62" bestFit="1" customWidth="1"/>
    <col min="21" max="21" width="22" style="62" bestFit="1" customWidth="1"/>
    <col min="22" max="22" width="20.85546875" style="62" bestFit="1" customWidth="1"/>
    <col min="23" max="23" width="26.28515625" style="62" bestFit="1" customWidth="1"/>
    <col min="24" max="24" width="27.5703125" style="109" bestFit="1" customWidth="1"/>
    <col min="25" max="25" width="71.5703125" style="109" customWidth="1"/>
    <col min="26" max="16384" width="9.140625" style="109"/>
  </cols>
  <sheetData>
    <row r="1" spans="1:25" s="114" customFormat="1" ht="37.5" x14ac:dyDescent="0.25">
      <c r="A1" s="307" t="s">
        <v>23</v>
      </c>
      <c r="B1" s="307" t="s">
        <v>31</v>
      </c>
      <c r="C1" s="307" t="s">
        <v>35</v>
      </c>
      <c r="D1" s="307" t="s">
        <v>36</v>
      </c>
      <c r="E1" s="307" t="s">
        <v>25</v>
      </c>
      <c r="F1" s="307" t="s">
        <v>89</v>
      </c>
      <c r="G1" s="307" t="s">
        <v>92</v>
      </c>
      <c r="H1" s="307" t="s">
        <v>93</v>
      </c>
      <c r="I1" s="307" t="s">
        <v>94</v>
      </c>
      <c r="J1" s="307" t="s">
        <v>95</v>
      </c>
      <c r="K1" s="307" t="s">
        <v>96</v>
      </c>
      <c r="L1" s="303" t="s">
        <v>98</v>
      </c>
      <c r="M1" s="303" t="s">
        <v>99</v>
      </c>
      <c r="N1" s="303" t="s">
        <v>411</v>
      </c>
      <c r="O1" s="303" t="s">
        <v>412</v>
      </c>
      <c r="P1" s="303" t="s">
        <v>413</v>
      </c>
      <c r="Q1" s="303" t="s">
        <v>414</v>
      </c>
      <c r="R1" s="303" t="s">
        <v>415</v>
      </c>
      <c r="S1" s="303" t="s">
        <v>416</v>
      </c>
      <c r="T1" s="303" t="s">
        <v>417</v>
      </c>
      <c r="U1" s="303" t="s">
        <v>420</v>
      </c>
      <c r="V1" s="303" t="s">
        <v>418</v>
      </c>
      <c r="W1" s="303" t="s">
        <v>419</v>
      </c>
      <c r="X1" s="311" t="s">
        <v>41</v>
      </c>
      <c r="Y1" s="311" t="s">
        <v>524</v>
      </c>
    </row>
    <row r="2" spans="1:25" ht="56.25" x14ac:dyDescent="0.25">
      <c r="A2" s="292">
        <v>93</v>
      </c>
      <c r="B2" s="307">
        <v>93</v>
      </c>
      <c r="C2" s="307">
        <v>6465</v>
      </c>
      <c r="D2" s="307">
        <v>2515</v>
      </c>
      <c r="E2" s="307" t="s">
        <v>91</v>
      </c>
      <c r="F2" s="312" t="s">
        <v>26</v>
      </c>
      <c r="G2" s="307" t="s">
        <v>195</v>
      </c>
      <c r="H2" s="307" t="s">
        <v>278</v>
      </c>
      <c r="I2" s="312" t="s">
        <v>97</v>
      </c>
      <c r="J2" s="307" t="s">
        <v>196</v>
      </c>
      <c r="K2" s="307" t="s">
        <v>277</v>
      </c>
      <c r="L2" s="303" t="s">
        <v>410</v>
      </c>
      <c r="M2" s="303" t="s">
        <v>83</v>
      </c>
      <c r="N2" s="303" t="s">
        <v>411</v>
      </c>
      <c r="O2" s="299" t="s">
        <v>83</v>
      </c>
      <c r="P2" s="299" t="s">
        <v>421</v>
      </c>
      <c r="Q2" s="303" t="s">
        <v>414</v>
      </c>
      <c r="R2" s="299" t="s">
        <v>83</v>
      </c>
      <c r="S2" s="303" t="s">
        <v>416</v>
      </c>
      <c r="T2" s="297" t="s">
        <v>88</v>
      </c>
      <c r="U2" s="297" t="s">
        <v>422</v>
      </c>
      <c r="V2" s="303" t="s">
        <v>418</v>
      </c>
      <c r="W2" s="297" t="s">
        <v>88</v>
      </c>
      <c r="X2" s="311" t="s">
        <v>393</v>
      </c>
      <c r="Y2" s="311" t="str">
        <f>CONCATENATE("Config - ",A2,", CxS Link, ",I2,", ",P2,",  ","",U2)</f>
        <v>Config - 93, CxS Link, C RX-1, C x S D/C-1,  S 200 W SSPA-1</v>
      </c>
    </row>
    <row r="3" spans="1:25" ht="56.25" x14ac:dyDescent="0.25">
      <c r="A3" s="307">
        <v>133</v>
      </c>
      <c r="B3" s="307">
        <v>93</v>
      </c>
      <c r="C3" s="307">
        <v>6465</v>
      </c>
      <c r="D3" s="307">
        <v>2515</v>
      </c>
      <c r="E3" s="307" t="s">
        <v>91</v>
      </c>
      <c r="F3" s="295" t="s">
        <v>26</v>
      </c>
      <c r="G3" s="307" t="s">
        <v>195</v>
      </c>
      <c r="H3" s="307" t="s">
        <v>278</v>
      </c>
      <c r="I3" s="295" t="s">
        <v>97</v>
      </c>
      <c r="J3" s="307" t="s">
        <v>196</v>
      </c>
      <c r="K3" s="307" t="s">
        <v>277</v>
      </c>
      <c r="L3" s="303" t="s">
        <v>410</v>
      </c>
      <c r="M3" s="303" t="s">
        <v>83</v>
      </c>
      <c r="N3" s="303" t="s">
        <v>411</v>
      </c>
      <c r="O3" s="299" t="s">
        <v>83</v>
      </c>
      <c r="P3" s="299" t="s">
        <v>421</v>
      </c>
      <c r="Q3" s="303" t="s">
        <v>414</v>
      </c>
      <c r="R3" s="299" t="s">
        <v>83</v>
      </c>
      <c r="S3" s="303" t="s">
        <v>416</v>
      </c>
      <c r="T3" s="303" t="s">
        <v>83</v>
      </c>
      <c r="U3" s="285" t="s">
        <v>423</v>
      </c>
      <c r="V3" s="303" t="s">
        <v>418</v>
      </c>
      <c r="W3" s="303" t="s">
        <v>83</v>
      </c>
      <c r="X3" s="311" t="s">
        <v>393</v>
      </c>
      <c r="Y3" s="311" t="str">
        <f t="shared" ref="Y3:Y10" si="0">CONCATENATE("Config - ",A3,", CxS Link, ",I3,", ",P3,",  ","",U3)</f>
        <v>Config - 133, CxS Link, C RX-1, C x S D/C-1,  S 200 W TWTA-R1</v>
      </c>
    </row>
    <row r="4" spans="1:25" ht="56.25" x14ac:dyDescent="0.25">
      <c r="A4" s="307">
        <v>134</v>
      </c>
      <c r="B4" s="307">
        <v>93</v>
      </c>
      <c r="C4" s="307">
        <v>6465</v>
      </c>
      <c r="D4" s="307">
        <v>2515</v>
      </c>
      <c r="E4" s="307" t="s">
        <v>91</v>
      </c>
      <c r="F4" s="295" t="s">
        <v>26</v>
      </c>
      <c r="G4" s="307" t="s">
        <v>195</v>
      </c>
      <c r="H4" s="307" t="s">
        <v>278</v>
      </c>
      <c r="I4" s="295" t="s">
        <v>97</v>
      </c>
      <c r="J4" s="307" t="s">
        <v>196</v>
      </c>
      <c r="K4" s="307" t="s">
        <v>277</v>
      </c>
      <c r="L4" s="303" t="s">
        <v>410</v>
      </c>
      <c r="M4" s="303" t="s">
        <v>83</v>
      </c>
      <c r="N4" s="303" t="s">
        <v>411</v>
      </c>
      <c r="O4" s="299" t="s">
        <v>83</v>
      </c>
      <c r="P4" s="299" t="s">
        <v>421</v>
      </c>
      <c r="Q4" s="303" t="s">
        <v>414</v>
      </c>
      <c r="R4" s="299" t="s">
        <v>83</v>
      </c>
      <c r="S4" s="303" t="s">
        <v>416</v>
      </c>
      <c r="T4" s="303" t="s">
        <v>380</v>
      </c>
      <c r="U4" s="285" t="s">
        <v>424</v>
      </c>
      <c r="V4" s="303" t="s">
        <v>418</v>
      </c>
      <c r="W4" s="303" t="s">
        <v>380</v>
      </c>
      <c r="X4" s="311" t="s">
        <v>393</v>
      </c>
      <c r="Y4" s="311" t="str">
        <f t="shared" si="0"/>
        <v>Config - 134, CxS Link, C RX-1, C x S D/C-1,  S 200 W TWTA-R2</v>
      </c>
    </row>
    <row r="5" spans="1:25" ht="56.25" x14ac:dyDescent="0.25">
      <c r="A5" s="307">
        <v>135</v>
      </c>
      <c r="B5" s="307">
        <v>93</v>
      </c>
      <c r="C5" s="307">
        <v>6465</v>
      </c>
      <c r="D5" s="307">
        <v>2515</v>
      </c>
      <c r="E5" s="307" t="s">
        <v>91</v>
      </c>
      <c r="F5" s="295" t="s">
        <v>26</v>
      </c>
      <c r="G5" s="307" t="s">
        <v>195</v>
      </c>
      <c r="H5" s="307" t="s">
        <v>278</v>
      </c>
      <c r="I5" s="295" t="s">
        <v>97</v>
      </c>
      <c r="J5" s="307" t="s">
        <v>196</v>
      </c>
      <c r="K5" s="307" t="s">
        <v>277</v>
      </c>
      <c r="L5" s="303" t="s">
        <v>410</v>
      </c>
      <c r="M5" s="303" t="s">
        <v>83</v>
      </c>
      <c r="N5" s="303" t="s">
        <v>411</v>
      </c>
      <c r="O5" s="303" t="s">
        <v>88</v>
      </c>
      <c r="P5" s="285" t="s">
        <v>425</v>
      </c>
      <c r="Q5" s="303" t="s">
        <v>414</v>
      </c>
      <c r="R5" s="303" t="s">
        <v>88</v>
      </c>
      <c r="S5" s="303" t="s">
        <v>416</v>
      </c>
      <c r="T5" s="297" t="s">
        <v>88</v>
      </c>
      <c r="U5" s="297" t="s">
        <v>422</v>
      </c>
      <c r="V5" s="303" t="s">
        <v>418</v>
      </c>
      <c r="W5" s="297" t="s">
        <v>88</v>
      </c>
      <c r="X5" s="311" t="s">
        <v>393</v>
      </c>
      <c r="Y5" s="311" t="str">
        <f t="shared" si="0"/>
        <v>Config - 135, CxS Link, C RX-1, C x S D/C-R1,  S 200 W SSPA-1</v>
      </c>
    </row>
    <row r="6" spans="1:25" ht="56.25" x14ac:dyDescent="0.25">
      <c r="A6" s="307">
        <v>136</v>
      </c>
      <c r="B6" s="307">
        <v>93</v>
      </c>
      <c r="C6" s="307">
        <v>6465</v>
      </c>
      <c r="D6" s="307">
        <v>2515</v>
      </c>
      <c r="E6" s="307" t="s">
        <v>91</v>
      </c>
      <c r="F6" s="305" t="s">
        <v>26</v>
      </c>
      <c r="G6" s="307" t="s">
        <v>195</v>
      </c>
      <c r="H6" s="307" t="s">
        <v>279</v>
      </c>
      <c r="I6" s="305" t="s">
        <v>274</v>
      </c>
      <c r="J6" s="307" t="s">
        <v>196</v>
      </c>
      <c r="K6" s="307" t="s">
        <v>70</v>
      </c>
      <c r="L6" s="303" t="s">
        <v>410</v>
      </c>
      <c r="M6" s="303" t="s">
        <v>83</v>
      </c>
      <c r="N6" s="303" t="s">
        <v>411</v>
      </c>
      <c r="O6" s="299" t="s">
        <v>83</v>
      </c>
      <c r="P6" s="299" t="s">
        <v>421</v>
      </c>
      <c r="Q6" s="303" t="s">
        <v>414</v>
      </c>
      <c r="R6" s="299" t="s">
        <v>83</v>
      </c>
      <c r="S6" s="303" t="s">
        <v>416</v>
      </c>
      <c r="T6" s="297" t="s">
        <v>88</v>
      </c>
      <c r="U6" s="297" t="s">
        <v>422</v>
      </c>
      <c r="V6" s="303" t="s">
        <v>418</v>
      </c>
      <c r="W6" s="297" t="s">
        <v>88</v>
      </c>
      <c r="X6" s="311" t="s">
        <v>393</v>
      </c>
      <c r="Y6" s="311" t="str">
        <f t="shared" si="0"/>
        <v>Config - 136, CxS Link, C RX-R1, C x S D/C-1,  S 200 W SSPA-1</v>
      </c>
    </row>
    <row r="7" spans="1:25" ht="56.25" x14ac:dyDescent="0.25">
      <c r="A7" s="307">
        <v>137</v>
      </c>
      <c r="B7" s="307">
        <v>93</v>
      </c>
      <c r="C7" s="307">
        <v>6465</v>
      </c>
      <c r="D7" s="307">
        <v>2515</v>
      </c>
      <c r="E7" s="307" t="s">
        <v>91</v>
      </c>
      <c r="F7" s="313" t="s">
        <v>26</v>
      </c>
      <c r="G7" s="307" t="s">
        <v>195</v>
      </c>
      <c r="H7" s="307" t="s">
        <v>232</v>
      </c>
      <c r="I7" s="313" t="s">
        <v>275</v>
      </c>
      <c r="J7" s="307" t="s">
        <v>196</v>
      </c>
      <c r="K7" s="307" t="s">
        <v>228</v>
      </c>
      <c r="L7" s="303" t="s">
        <v>410</v>
      </c>
      <c r="M7" s="303" t="s">
        <v>88</v>
      </c>
      <c r="N7" s="303" t="s">
        <v>411</v>
      </c>
      <c r="O7" s="299" t="s">
        <v>83</v>
      </c>
      <c r="P7" s="299" t="s">
        <v>421</v>
      </c>
      <c r="Q7" s="303" t="s">
        <v>414</v>
      </c>
      <c r="R7" s="299" t="s">
        <v>83</v>
      </c>
      <c r="S7" s="303" t="s">
        <v>416</v>
      </c>
      <c r="T7" s="297" t="s">
        <v>88</v>
      </c>
      <c r="U7" s="297" t="s">
        <v>422</v>
      </c>
      <c r="V7" s="303" t="s">
        <v>418</v>
      </c>
      <c r="W7" s="297" t="s">
        <v>88</v>
      </c>
      <c r="X7" s="311" t="s">
        <v>393</v>
      </c>
      <c r="Y7" s="311" t="str">
        <f t="shared" si="0"/>
        <v>Config - 137, CxS Link, C RX-R2, C x S D/C-1,  S 200 W SSPA-1</v>
      </c>
    </row>
    <row r="8" spans="1:25" ht="56.25" x14ac:dyDescent="0.25">
      <c r="A8" s="292">
        <v>94</v>
      </c>
      <c r="B8" s="307">
        <v>94</v>
      </c>
      <c r="C8" s="307">
        <v>6465</v>
      </c>
      <c r="D8" s="307">
        <v>2515</v>
      </c>
      <c r="E8" s="307" t="s">
        <v>91</v>
      </c>
      <c r="F8" s="312" t="s">
        <v>27</v>
      </c>
      <c r="G8" s="307" t="s">
        <v>195</v>
      </c>
      <c r="H8" s="307" t="s">
        <v>278</v>
      </c>
      <c r="I8" s="312" t="s">
        <v>276</v>
      </c>
      <c r="J8" s="307" t="s">
        <v>196</v>
      </c>
      <c r="K8" s="307" t="s">
        <v>277</v>
      </c>
      <c r="L8" s="303" t="s">
        <v>410</v>
      </c>
      <c r="M8" s="303" t="s">
        <v>88</v>
      </c>
      <c r="N8" s="303" t="s">
        <v>411</v>
      </c>
      <c r="O8" s="299" t="s">
        <v>83</v>
      </c>
      <c r="P8" s="299" t="s">
        <v>421</v>
      </c>
      <c r="Q8" s="303" t="s">
        <v>414</v>
      </c>
      <c r="R8" s="299" t="s">
        <v>83</v>
      </c>
      <c r="S8" s="303" t="s">
        <v>416</v>
      </c>
      <c r="T8" s="297" t="s">
        <v>88</v>
      </c>
      <c r="U8" s="297" t="s">
        <v>422</v>
      </c>
      <c r="V8" s="303" t="s">
        <v>418</v>
      </c>
      <c r="W8" s="297" t="s">
        <v>88</v>
      </c>
      <c r="X8" s="311" t="s">
        <v>393</v>
      </c>
      <c r="Y8" s="311" t="str">
        <f t="shared" si="0"/>
        <v>Config - 94, CxS Link, C RX-2, C x S D/C-1,  S 200 W SSPA-1</v>
      </c>
    </row>
    <row r="9" spans="1:25" ht="56.25" x14ac:dyDescent="0.25">
      <c r="A9" s="307">
        <v>138</v>
      </c>
      <c r="B9" s="307">
        <v>94</v>
      </c>
      <c r="C9" s="307">
        <v>6465</v>
      </c>
      <c r="D9" s="307">
        <v>2515</v>
      </c>
      <c r="E9" s="307" t="s">
        <v>91</v>
      </c>
      <c r="F9" s="305" t="s">
        <v>27</v>
      </c>
      <c r="G9" s="307" t="s">
        <v>195</v>
      </c>
      <c r="H9" s="307" t="s">
        <v>68</v>
      </c>
      <c r="I9" s="305" t="s">
        <v>275</v>
      </c>
      <c r="J9" s="307" t="s">
        <v>196</v>
      </c>
      <c r="K9" s="307" t="s">
        <v>66</v>
      </c>
      <c r="L9" s="303" t="s">
        <v>410</v>
      </c>
      <c r="M9" s="303" t="s">
        <v>88</v>
      </c>
      <c r="N9" s="303" t="s">
        <v>411</v>
      </c>
      <c r="O9" s="299" t="s">
        <v>83</v>
      </c>
      <c r="P9" s="299" t="s">
        <v>421</v>
      </c>
      <c r="Q9" s="303" t="s">
        <v>414</v>
      </c>
      <c r="R9" s="299" t="s">
        <v>83</v>
      </c>
      <c r="S9" s="303" t="s">
        <v>416</v>
      </c>
      <c r="T9" s="297" t="s">
        <v>88</v>
      </c>
      <c r="U9" s="297" t="s">
        <v>422</v>
      </c>
      <c r="V9" s="303" t="s">
        <v>418</v>
      </c>
      <c r="W9" s="297" t="s">
        <v>88</v>
      </c>
      <c r="X9" s="311" t="s">
        <v>393</v>
      </c>
      <c r="Y9" s="311" t="str">
        <f t="shared" si="0"/>
        <v>Config - 138, CxS Link, C RX-R2, C x S D/C-1,  S 200 W SSPA-1</v>
      </c>
    </row>
    <row r="10" spans="1:25" ht="56.25" x14ac:dyDescent="0.25">
      <c r="A10" s="307">
        <v>139</v>
      </c>
      <c r="B10" s="307">
        <v>94</v>
      </c>
      <c r="C10" s="307">
        <v>6465</v>
      </c>
      <c r="D10" s="307">
        <v>2515</v>
      </c>
      <c r="E10" s="307" t="s">
        <v>91</v>
      </c>
      <c r="F10" s="313" t="s">
        <v>27</v>
      </c>
      <c r="G10" s="307" t="s">
        <v>195</v>
      </c>
      <c r="H10" s="307" t="s">
        <v>228</v>
      </c>
      <c r="I10" s="313" t="s">
        <v>274</v>
      </c>
      <c r="J10" s="307" t="s">
        <v>196</v>
      </c>
      <c r="K10" s="307" t="s">
        <v>232</v>
      </c>
      <c r="L10" s="303" t="s">
        <v>410</v>
      </c>
      <c r="M10" s="303" t="s">
        <v>83</v>
      </c>
      <c r="N10" s="303" t="s">
        <v>411</v>
      </c>
      <c r="O10" s="299" t="s">
        <v>83</v>
      </c>
      <c r="P10" s="299" t="s">
        <v>421</v>
      </c>
      <c r="Q10" s="303" t="s">
        <v>414</v>
      </c>
      <c r="R10" s="299" t="s">
        <v>83</v>
      </c>
      <c r="S10" s="303" t="s">
        <v>416</v>
      </c>
      <c r="T10" s="297" t="s">
        <v>88</v>
      </c>
      <c r="U10" s="297" t="s">
        <v>422</v>
      </c>
      <c r="V10" s="303" t="s">
        <v>418</v>
      </c>
      <c r="W10" s="297" t="s">
        <v>88</v>
      </c>
      <c r="X10" s="311" t="s">
        <v>393</v>
      </c>
      <c r="Y10" s="311" t="str">
        <f t="shared" si="0"/>
        <v>Config - 139, CxS Link, C RX-R1, C x S D/C-1,  S 200 W SSPA-1</v>
      </c>
    </row>
  </sheetData>
  <autoFilter ref="A1:W1"/>
  <pageMargins left="0.7" right="0.7" top="0.75" bottom="0.75" header="0.3" footer="0.3"/>
  <pageSetup paperSize="8" scale="36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5"/>
  <sheetViews>
    <sheetView zoomScale="115" zoomScaleNormal="115" workbookViewId="0">
      <pane ySplit="1" topLeftCell="A2" activePane="bottomLeft" state="frozen"/>
      <selection activeCell="P1" sqref="P1"/>
      <selection pane="bottomLeft" sqref="A1:XFD1"/>
    </sheetView>
  </sheetViews>
  <sheetFormatPr defaultColWidth="9.140625" defaultRowHeight="15" x14ac:dyDescent="0.25"/>
  <cols>
    <col min="1" max="1" width="13" style="109" bestFit="1" customWidth="1"/>
    <col min="2" max="2" width="15" style="109" bestFit="1" customWidth="1"/>
    <col min="3" max="3" width="13.140625" style="109" bestFit="1" customWidth="1"/>
    <col min="4" max="4" width="16.5703125" style="109" bestFit="1" customWidth="1"/>
    <col min="5" max="5" width="27.5703125" style="109" bestFit="1" customWidth="1"/>
    <col min="6" max="6" width="23.140625" style="109" bestFit="1" customWidth="1"/>
    <col min="7" max="7" width="28.42578125" style="109" bestFit="1" customWidth="1"/>
    <col min="8" max="8" width="15.85546875" style="109" bestFit="1" customWidth="1"/>
    <col min="9" max="9" width="24.28515625" style="109" bestFit="1" customWidth="1"/>
    <col min="10" max="10" width="29.5703125" style="109" bestFit="1" customWidth="1"/>
    <col min="11" max="11" width="24.5703125" style="109" bestFit="1" customWidth="1"/>
    <col min="12" max="12" width="29.85546875" style="109" bestFit="1" customWidth="1"/>
    <col min="13" max="13" width="17.28515625" style="109" bestFit="1" customWidth="1"/>
    <col min="14" max="14" width="25.7109375" style="109" bestFit="1" customWidth="1"/>
    <col min="15" max="15" width="31.140625" style="109" bestFit="1" customWidth="1"/>
    <col min="16" max="16" width="21.28515625" style="109" bestFit="1" customWidth="1"/>
    <col min="17" max="17" width="23.85546875" style="109" bestFit="1" customWidth="1"/>
    <col min="18" max="18" width="86" style="109" bestFit="1" customWidth="1"/>
    <col min="19" max="16384" width="9.140625" style="109"/>
  </cols>
  <sheetData>
    <row r="1" spans="1:18" s="114" customFormat="1" ht="18.75" x14ac:dyDescent="0.3">
      <c r="A1" s="286" t="s">
        <v>23</v>
      </c>
      <c r="B1" s="286" t="s">
        <v>31</v>
      </c>
      <c r="C1" s="286" t="s">
        <v>35</v>
      </c>
      <c r="D1" s="286" t="s">
        <v>36</v>
      </c>
      <c r="E1" s="286" t="s">
        <v>25</v>
      </c>
      <c r="F1" s="286" t="s">
        <v>394</v>
      </c>
      <c r="G1" s="286" t="s">
        <v>395</v>
      </c>
      <c r="H1" s="286" t="s">
        <v>396</v>
      </c>
      <c r="I1" s="286" t="s">
        <v>397</v>
      </c>
      <c r="J1" s="286" t="s">
        <v>398</v>
      </c>
      <c r="K1" s="286" t="s">
        <v>399</v>
      </c>
      <c r="L1" s="286" t="s">
        <v>400</v>
      </c>
      <c r="M1" s="286" t="s">
        <v>401</v>
      </c>
      <c r="N1" s="286" t="s">
        <v>402</v>
      </c>
      <c r="O1" s="286" t="s">
        <v>403</v>
      </c>
      <c r="P1" s="286" t="s">
        <v>41</v>
      </c>
      <c r="Q1" s="286" t="s">
        <v>90</v>
      </c>
      <c r="R1" s="308" t="s">
        <v>524</v>
      </c>
    </row>
    <row r="2" spans="1:18" ht="18.75" x14ac:dyDescent="0.25">
      <c r="A2" s="287">
        <v>92</v>
      </c>
      <c r="B2" s="301">
        <v>92</v>
      </c>
      <c r="C2" s="309">
        <v>2685</v>
      </c>
      <c r="D2" s="309">
        <v>3695</v>
      </c>
      <c r="E2" s="286" t="s">
        <v>393</v>
      </c>
      <c r="F2" s="286" t="s">
        <v>394</v>
      </c>
      <c r="G2" s="291" t="s">
        <v>83</v>
      </c>
      <c r="H2" s="291" t="s">
        <v>404</v>
      </c>
      <c r="I2" s="286" t="s">
        <v>397</v>
      </c>
      <c r="J2" s="291" t="s">
        <v>83</v>
      </c>
      <c r="K2" s="286" t="s">
        <v>399</v>
      </c>
      <c r="L2" s="288" t="s">
        <v>83</v>
      </c>
      <c r="M2" s="288" t="s">
        <v>406</v>
      </c>
      <c r="N2" s="286" t="s">
        <v>402</v>
      </c>
      <c r="O2" s="288" t="s">
        <v>83</v>
      </c>
      <c r="P2" s="286" t="s">
        <v>91</v>
      </c>
      <c r="Q2" s="286" t="s">
        <v>26</v>
      </c>
      <c r="R2" s="286" t="str">
        <f>CONCATENATE("Config - ",A2, ", SxC Link, ",H2, ", ", M2, ", Downlink Beam: ",Q2)</f>
        <v>Config - 92, SxC Link, S x C U/C-1, S x C SSPA-1, Downlink Beam: WB-1</v>
      </c>
    </row>
    <row r="3" spans="1:18" ht="18.75" x14ac:dyDescent="0.25">
      <c r="A3" s="301">
        <v>130</v>
      </c>
      <c r="B3" s="301">
        <v>92</v>
      </c>
      <c r="C3" s="309">
        <v>2685</v>
      </c>
      <c r="D3" s="309">
        <v>3695</v>
      </c>
      <c r="E3" s="286" t="s">
        <v>393</v>
      </c>
      <c r="F3" s="286" t="s">
        <v>394</v>
      </c>
      <c r="G3" s="291" t="s">
        <v>83</v>
      </c>
      <c r="H3" s="291" t="s">
        <v>404</v>
      </c>
      <c r="I3" s="286" t="s">
        <v>397</v>
      </c>
      <c r="J3" s="291" t="s">
        <v>83</v>
      </c>
      <c r="K3" s="286" t="s">
        <v>399</v>
      </c>
      <c r="L3" s="310" t="s">
        <v>88</v>
      </c>
      <c r="M3" s="310" t="s">
        <v>407</v>
      </c>
      <c r="N3" s="286" t="s">
        <v>402</v>
      </c>
      <c r="O3" s="310" t="s">
        <v>88</v>
      </c>
      <c r="P3" s="286" t="s">
        <v>91</v>
      </c>
      <c r="Q3" s="286" t="s">
        <v>26</v>
      </c>
      <c r="R3" s="286" t="str">
        <f>CONCATENATE("Config - ",A3, ", SxC Link, ",H3, ", ", M3, ", Downlink Beam: ",Q3)</f>
        <v>Config - 130, SxC Link, S x C U/C-1, S x C SSPA-R1, Downlink Beam: WB-1</v>
      </c>
    </row>
    <row r="4" spans="1:18" ht="18.75" x14ac:dyDescent="0.25">
      <c r="A4" s="301">
        <v>131</v>
      </c>
      <c r="B4" s="301">
        <v>92</v>
      </c>
      <c r="C4" s="309">
        <v>2685</v>
      </c>
      <c r="D4" s="309">
        <v>3695</v>
      </c>
      <c r="E4" s="286" t="s">
        <v>393</v>
      </c>
      <c r="F4" s="286" t="s">
        <v>394</v>
      </c>
      <c r="G4" s="290" t="s">
        <v>88</v>
      </c>
      <c r="H4" s="290" t="s">
        <v>405</v>
      </c>
      <c r="I4" s="286" t="s">
        <v>397</v>
      </c>
      <c r="J4" s="290" t="s">
        <v>88</v>
      </c>
      <c r="K4" s="286" t="s">
        <v>399</v>
      </c>
      <c r="L4" s="288" t="s">
        <v>83</v>
      </c>
      <c r="M4" s="288" t="s">
        <v>406</v>
      </c>
      <c r="N4" s="286" t="s">
        <v>402</v>
      </c>
      <c r="O4" s="288" t="s">
        <v>83</v>
      </c>
      <c r="P4" s="286" t="s">
        <v>91</v>
      </c>
      <c r="Q4" s="286" t="s">
        <v>26</v>
      </c>
      <c r="R4" s="286" t="str">
        <f>CONCATENATE("Config - ",A4, ", SxC Link, ",H4, ", ", M4, ", Downlink Beam: ",Q4)</f>
        <v>Config - 131, SxC Link, S x C U/C-R1, S x C SSPA-1, Downlink Beam: WB-1</v>
      </c>
    </row>
    <row r="5" spans="1:18" ht="18.75" x14ac:dyDescent="0.25">
      <c r="A5" s="301">
        <v>132</v>
      </c>
      <c r="B5" s="301">
        <v>92</v>
      </c>
      <c r="C5" s="309">
        <v>2685</v>
      </c>
      <c r="D5" s="309">
        <v>3695</v>
      </c>
      <c r="E5" s="286" t="s">
        <v>393</v>
      </c>
      <c r="F5" s="286" t="s">
        <v>394</v>
      </c>
      <c r="G5" s="290" t="s">
        <v>88</v>
      </c>
      <c r="H5" s="290" t="s">
        <v>405</v>
      </c>
      <c r="I5" s="286" t="s">
        <v>397</v>
      </c>
      <c r="J5" s="290" t="s">
        <v>88</v>
      </c>
      <c r="K5" s="286" t="s">
        <v>399</v>
      </c>
      <c r="L5" s="310" t="s">
        <v>88</v>
      </c>
      <c r="M5" s="310" t="s">
        <v>407</v>
      </c>
      <c r="N5" s="286" t="s">
        <v>402</v>
      </c>
      <c r="O5" s="310" t="s">
        <v>88</v>
      </c>
      <c r="P5" s="286" t="s">
        <v>91</v>
      </c>
      <c r="Q5" s="286" t="s">
        <v>26</v>
      </c>
      <c r="R5" s="286" t="str">
        <f>CONCATENATE("Config - ",A5, ", SxC Link, ",H5, ", ", M5, ", Downlink Beam: ",Q5)</f>
        <v>Config - 132, SxC Link, S x C U/C-R1, S x C SSPA-R1, Downlink Beam: WB-1</v>
      </c>
    </row>
  </sheetData>
  <autoFilter ref="A1:Q5"/>
  <pageMargins left="0.7" right="0.7" top="0.75" bottom="0.75" header="0.3" footer="0.3"/>
  <pageSetup paperSize="8" scale="41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37"/>
  <sheetViews>
    <sheetView zoomScale="85" zoomScaleNormal="85" workbookViewId="0">
      <pane ySplit="1" topLeftCell="A2" activePane="bottomLeft" state="frozen"/>
      <selection activeCell="P1" sqref="P1"/>
      <selection pane="bottomLeft" activeCell="C2" sqref="C2:C9"/>
    </sheetView>
  </sheetViews>
  <sheetFormatPr defaultColWidth="9.140625" defaultRowHeight="15" x14ac:dyDescent="0.25"/>
  <cols>
    <col min="1" max="1" width="13" style="29" bestFit="1" customWidth="1"/>
    <col min="2" max="2" width="12.85546875" style="29" bestFit="1" customWidth="1"/>
    <col min="3" max="4" width="13.140625" style="29" bestFit="1" customWidth="1"/>
    <col min="5" max="5" width="19.28515625" style="29" bestFit="1" customWidth="1"/>
    <col min="6" max="6" width="13.140625" style="29" bestFit="1" customWidth="1"/>
    <col min="7" max="7" width="13.5703125" style="29" bestFit="1" customWidth="1"/>
    <col min="8" max="8" width="23.28515625" style="29" bestFit="1" customWidth="1"/>
    <col min="9" max="9" width="10.85546875" style="29" bestFit="1" customWidth="1"/>
    <col min="10" max="10" width="14.7109375" style="29" bestFit="1" customWidth="1"/>
    <col min="11" max="11" width="19.140625" style="29" bestFit="1" customWidth="1"/>
    <col min="12" max="12" width="19.42578125" style="62" bestFit="1" customWidth="1"/>
    <col min="13" max="13" width="23.85546875" style="62" bestFit="1" customWidth="1"/>
    <col min="14" max="15" width="22.28515625" style="62" bestFit="1" customWidth="1"/>
    <col min="16" max="16" width="19.42578125" style="62" bestFit="1" customWidth="1"/>
    <col min="17" max="17" width="23.42578125" style="62" bestFit="1" customWidth="1"/>
    <col min="18" max="18" width="27" style="62" bestFit="1" customWidth="1"/>
    <col min="19" max="19" width="15.42578125" style="62" bestFit="1" customWidth="1"/>
    <col min="20" max="20" width="16.7109375" style="62" bestFit="1" customWidth="1"/>
    <col min="21" max="21" width="22.140625" style="62" bestFit="1" customWidth="1"/>
    <col min="22" max="22" width="19.42578125" style="63" bestFit="1" customWidth="1"/>
    <col min="23" max="23" width="18.5703125" style="62" customWidth="1"/>
    <col min="24" max="24" width="36.140625" style="146" bestFit="1" customWidth="1"/>
    <col min="25" max="25" width="36.140625" style="147" bestFit="1" customWidth="1"/>
    <col min="26" max="26" width="40.42578125" style="146" bestFit="1" customWidth="1"/>
    <col min="27" max="27" width="13.7109375" style="148" bestFit="1" customWidth="1"/>
    <col min="28" max="28" width="10.7109375" style="148" bestFit="1" customWidth="1"/>
    <col min="29" max="29" width="19.28515625" style="148" bestFit="1" customWidth="1"/>
    <col min="30" max="30" width="25.28515625" style="146" bestFit="1" customWidth="1"/>
    <col min="31" max="31" width="40" style="146" bestFit="1" customWidth="1"/>
    <col min="32" max="32" width="36" style="147" bestFit="1" customWidth="1"/>
    <col min="33" max="33" width="40.28515625" style="146" bestFit="1" customWidth="1"/>
    <col min="34" max="34" width="18" style="62" bestFit="1" customWidth="1"/>
    <col min="35" max="35" width="23.28515625" style="62" bestFit="1" customWidth="1"/>
    <col min="36" max="37" width="29.42578125" style="62" bestFit="1" customWidth="1"/>
    <col min="38" max="38" width="19.7109375" style="29" bestFit="1" customWidth="1"/>
    <col min="39" max="39" width="24.140625" style="29" bestFit="1" customWidth="1"/>
    <col min="40" max="40" width="18.5703125" style="29" bestFit="1" customWidth="1"/>
    <col min="41" max="41" width="20.85546875" style="29" bestFit="1" customWidth="1"/>
    <col min="42" max="42" width="25.28515625" style="29" bestFit="1" customWidth="1"/>
    <col min="43" max="43" width="23.140625" style="29" bestFit="1" customWidth="1"/>
    <col min="44" max="44" width="16.5703125" style="29" bestFit="1" customWidth="1"/>
    <col min="45" max="45" width="139.42578125" style="203" bestFit="1" customWidth="1"/>
    <col min="46" max="16384" width="9.140625" style="29"/>
  </cols>
  <sheetData>
    <row r="1" spans="1:45" s="61" customFormat="1" ht="37.5" x14ac:dyDescent="0.25">
      <c r="A1" s="307" t="s">
        <v>23</v>
      </c>
      <c r="B1" s="307" t="s">
        <v>31</v>
      </c>
      <c r="C1" s="307" t="s">
        <v>35</v>
      </c>
      <c r="D1" s="307" t="s">
        <v>36</v>
      </c>
      <c r="E1" s="307" t="s">
        <v>25</v>
      </c>
      <c r="F1" s="307" t="s">
        <v>89</v>
      </c>
      <c r="G1" s="307" t="s">
        <v>92</v>
      </c>
      <c r="H1" s="307" t="s">
        <v>93</v>
      </c>
      <c r="I1" s="307" t="s">
        <v>94</v>
      </c>
      <c r="J1" s="307" t="s">
        <v>95</v>
      </c>
      <c r="K1" s="307" t="s">
        <v>96</v>
      </c>
      <c r="L1" s="303" t="s">
        <v>98</v>
      </c>
      <c r="M1" s="303" t="s">
        <v>99</v>
      </c>
      <c r="N1" s="303" t="s">
        <v>101</v>
      </c>
      <c r="O1" s="303" t="s">
        <v>103</v>
      </c>
      <c r="P1" s="303" t="s">
        <v>100</v>
      </c>
      <c r="Q1" s="303" t="s">
        <v>102</v>
      </c>
      <c r="R1" s="303" t="s">
        <v>104</v>
      </c>
      <c r="S1" s="303" t="s">
        <v>271</v>
      </c>
      <c r="T1" s="314" t="s">
        <v>105</v>
      </c>
      <c r="U1" s="303" t="s">
        <v>106</v>
      </c>
      <c r="V1" s="295" t="s">
        <v>197</v>
      </c>
      <c r="W1" s="303" t="s">
        <v>226</v>
      </c>
      <c r="X1" s="303" t="s">
        <v>235</v>
      </c>
      <c r="Y1" s="300" t="s">
        <v>221</v>
      </c>
      <c r="Z1" s="303" t="s">
        <v>222</v>
      </c>
      <c r="AA1" s="295" t="s">
        <v>118</v>
      </c>
      <c r="AB1" s="295" t="s">
        <v>119</v>
      </c>
      <c r="AC1" s="295" t="s">
        <v>198</v>
      </c>
      <c r="AD1" s="303" t="s">
        <v>225</v>
      </c>
      <c r="AE1" s="303" t="s">
        <v>231</v>
      </c>
      <c r="AF1" s="300" t="s">
        <v>223</v>
      </c>
      <c r="AG1" s="303" t="s">
        <v>224</v>
      </c>
      <c r="AH1" s="303" t="s">
        <v>199</v>
      </c>
      <c r="AI1" s="303" t="s">
        <v>200</v>
      </c>
      <c r="AJ1" s="314" t="s">
        <v>201</v>
      </c>
      <c r="AK1" s="303" t="s">
        <v>202</v>
      </c>
      <c r="AL1" s="307" t="s">
        <v>203</v>
      </c>
      <c r="AM1" s="307" t="s">
        <v>204</v>
      </c>
      <c r="AN1" s="307" t="s">
        <v>205</v>
      </c>
      <c r="AO1" s="307" t="s">
        <v>206</v>
      </c>
      <c r="AP1" s="307" t="s">
        <v>207</v>
      </c>
      <c r="AQ1" s="307" t="s">
        <v>41</v>
      </c>
      <c r="AR1" s="307" t="s">
        <v>90</v>
      </c>
      <c r="AS1" s="307" t="s">
        <v>524</v>
      </c>
    </row>
    <row r="2" spans="1:45" ht="75" x14ac:dyDescent="0.25">
      <c r="A2" s="292">
        <v>1</v>
      </c>
      <c r="B2" s="307">
        <v>1</v>
      </c>
      <c r="C2" s="307">
        <v>6388.0999999999995</v>
      </c>
      <c r="D2" s="307">
        <v>243.2</v>
      </c>
      <c r="E2" s="307" t="s">
        <v>91</v>
      </c>
      <c r="F2" s="295" t="s">
        <v>26</v>
      </c>
      <c r="G2" s="307" t="s">
        <v>195</v>
      </c>
      <c r="H2" s="307" t="s">
        <v>278</v>
      </c>
      <c r="I2" s="295" t="s">
        <v>97</v>
      </c>
      <c r="J2" s="307" t="s">
        <v>196</v>
      </c>
      <c r="K2" s="307" t="s">
        <v>277</v>
      </c>
      <c r="L2" s="303" t="s">
        <v>273</v>
      </c>
      <c r="M2" s="303" t="s">
        <v>83</v>
      </c>
      <c r="N2" s="303" t="s">
        <v>101</v>
      </c>
      <c r="O2" s="303" t="s">
        <v>83</v>
      </c>
      <c r="P2" s="303" t="s">
        <v>236</v>
      </c>
      <c r="Q2" s="303" t="s">
        <v>102</v>
      </c>
      <c r="R2" s="303" t="s">
        <v>88</v>
      </c>
      <c r="S2" s="303">
        <v>1</v>
      </c>
      <c r="T2" s="303" t="s">
        <v>105</v>
      </c>
      <c r="U2" s="303" t="s">
        <v>83</v>
      </c>
      <c r="V2" s="295" t="s">
        <v>120</v>
      </c>
      <c r="W2" s="303">
        <v>1</v>
      </c>
      <c r="X2" s="303" t="s">
        <v>120</v>
      </c>
      <c r="Y2" s="300" t="s">
        <v>120</v>
      </c>
      <c r="Z2" s="303" t="s">
        <v>121</v>
      </c>
      <c r="AA2" s="295" t="s">
        <v>120</v>
      </c>
      <c r="AB2" s="295" t="s">
        <v>120</v>
      </c>
      <c r="AC2" s="295" t="s">
        <v>120</v>
      </c>
      <c r="AD2" s="303">
        <v>1</v>
      </c>
      <c r="AE2" s="427" t="s">
        <v>209</v>
      </c>
      <c r="AF2" s="300" t="s">
        <v>136</v>
      </c>
      <c r="AG2" s="303" t="s">
        <v>121</v>
      </c>
      <c r="AH2" s="303" t="s">
        <v>210</v>
      </c>
      <c r="AI2" s="303" t="s">
        <v>211</v>
      </c>
      <c r="AJ2" s="303" t="s">
        <v>212</v>
      </c>
      <c r="AK2" s="303" t="s">
        <v>83</v>
      </c>
      <c r="AL2" s="307" t="s">
        <v>242</v>
      </c>
      <c r="AM2" s="307" t="s">
        <v>228</v>
      </c>
      <c r="AN2" s="307" t="s">
        <v>238</v>
      </c>
      <c r="AO2" s="307" t="s">
        <v>246</v>
      </c>
      <c r="AP2" s="307" t="s">
        <v>228</v>
      </c>
      <c r="AQ2" s="307" t="s">
        <v>208</v>
      </c>
      <c r="AR2" s="307"/>
      <c r="AS2" s="307" t="str">
        <f>CONCATENATE("Config - ",A2,", CxUHF Link, UL beam: ",F2,", ",I2,", Ch EPC - ",V2,", DP IP port - ",W2,", Ch Card - ",X2,", Router - ",AA2,", CDU - ",AB2,", Sy EPC - ",AC2,", DP OP port - ",AD2,", Sy Card - ",AE2,", ",AN2)</f>
        <v>Config - 1, CxUHF Link, UL beam: WB-1, C RX-1, Ch EPC - M, DP IP port - 1, Ch Card - M, Router - M, CDU - M, Sy EPC - M, DP OP port - 1, Sy Card - M1, UHF 100 W SSPA-1</v>
      </c>
    </row>
    <row r="3" spans="1:45" ht="93.75" x14ac:dyDescent="0.25">
      <c r="A3" s="292">
        <v>2</v>
      </c>
      <c r="B3" s="307">
        <v>2</v>
      </c>
      <c r="C3" s="307">
        <v>6393.2999999999993</v>
      </c>
      <c r="D3" s="307">
        <v>248.4</v>
      </c>
      <c r="E3" s="307" t="s">
        <v>91</v>
      </c>
      <c r="F3" s="295" t="s">
        <v>26</v>
      </c>
      <c r="G3" s="307" t="s">
        <v>195</v>
      </c>
      <c r="H3" s="307" t="s">
        <v>278</v>
      </c>
      <c r="I3" s="295" t="s">
        <v>97</v>
      </c>
      <c r="J3" s="307" t="s">
        <v>196</v>
      </c>
      <c r="K3" s="307" t="s">
        <v>277</v>
      </c>
      <c r="L3" s="303" t="s">
        <v>273</v>
      </c>
      <c r="M3" s="303" t="s">
        <v>83</v>
      </c>
      <c r="N3" s="303" t="s">
        <v>101</v>
      </c>
      <c r="O3" s="303" t="s">
        <v>83</v>
      </c>
      <c r="P3" s="303" t="s">
        <v>236</v>
      </c>
      <c r="Q3" s="303" t="s">
        <v>102</v>
      </c>
      <c r="R3" s="303" t="s">
        <v>88</v>
      </c>
      <c r="S3" s="303">
        <v>1</v>
      </c>
      <c r="T3" s="303" t="s">
        <v>105</v>
      </c>
      <c r="U3" s="303" t="s">
        <v>83</v>
      </c>
      <c r="V3" s="295" t="s">
        <v>120</v>
      </c>
      <c r="W3" s="303">
        <v>1</v>
      </c>
      <c r="X3" s="303" t="s">
        <v>120</v>
      </c>
      <c r="Y3" s="300" t="s">
        <v>120</v>
      </c>
      <c r="Z3" s="303" t="s">
        <v>121</v>
      </c>
      <c r="AA3" s="295" t="s">
        <v>120</v>
      </c>
      <c r="AB3" s="295" t="s">
        <v>120</v>
      </c>
      <c r="AC3" s="295" t="s">
        <v>120</v>
      </c>
      <c r="AD3" s="303">
        <v>2</v>
      </c>
      <c r="AE3" s="427" t="s">
        <v>209</v>
      </c>
      <c r="AF3" s="300" t="s">
        <v>136</v>
      </c>
      <c r="AG3" s="303" t="s">
        <v>121</v>
      </c>
      <c r="AH3" s="303" t="s">
        <v>216</v>
      </c>
      <c r="AI3" s="303" t="s">
        <v>219</v>
      </c>
      <c r="AJ3" s="303" t="s">
        <v>213</v>
      </c>
      <c r="AK3" s="303" t="s">
        <v>83</v>
      </c>
      <c r="AL3" s="307" t="s">
        <v>243</v>
      </c>
      <c r="AM3" s="307" t="s">
        <v>250</v>
      </c>
      <c r="AN3" s="307" t="s">
        <v>239</v>
      </c>
      <c r="AO3" s="307" t="s">
        <v>247</v>
      </c>
      <c r="AP3" s="307" t="s">
        <v>250</v>
      </c>
      <c r="AQ3" s="307" t="s">
        <v>208</v>
      </c>
      <c r="AR3" s="307"/>
      <c r="AS3" s="307" t="str">
        <f t="shared" ref="AS3:AS37" si="0">CONCATENATE("Config - ",A3,", CxUHF Link, UL beam: ",F3,", ",I3,", Ch EPC - ",V3,", DP IP port - ",W3,", Ch Card - ",X3,", Router - ",AA3,", CDU - ",AB3,", Sy EPC - ",AC3,", DP OP port - ",AD3,", Sy Card - ",AE3,", ",AN3)</f>
        <v>Config - 2, CxUHF Link, UL beam: WB-1, C RX-1, Ch EPC - M, DP IP port - 1, Ch Card - M, Router - M, CDU - M, Sy EPC - M, DP OP port - 2, Sy Card - M1, UHF 100 W SSPA-2</v>
      </c>
    </row>
    <row r="4" spans="1:45" ht="93.75" x14ac:dyDescent="0.25">
      <c r="A4" s="292">
        <v>3</v>
      </c>
      <c r="B4" s="307">
        <v>3</v>
      </c>
      <c r="C4" s="307">
        <v>6398.5</v>
      </c>
      <c r="D4" s="307">
        <v>253.6</v>
      </c>
      <c r="E4" s="307" t="s">
        <v>91</v>
      </c>
      <c r="F4" s="295" t="s">
        <v>26</v>
      </c>
      <c r="G4" s="307" t="s">
        <v>195</v>
      </c>
      <c r="H4" s="307" t="s">
        <v>278</v>
      </c>
      <c r="I4" s="295" t="s">
        <v>97</v>
      </c>
      <c r="J4" s="307" t="s">
        <v>196</v>
      </c>
      <c r="K4" s="307" t="s">
        <v>277</v>
      </c>
      <c r="L4" s="303" t="s">
        <v>273</v>
      </c>
      <c r="M4" s="303" t="s">
        <v>83</v>
      </c>
      <c r="N4" s="303" t="s">
        <v>101</v>
      </c>
      <c r="O4" s="303" t="s">
        <v>83</v>
      </c>
      <c r="P4" s="303" t="s">
        <v>236</v>
      </c>
      <c r="Q4" s="303" t="s">
        <v>102</v>
      </c>
      <c r="R4" s="303" t="s">
        <v>88</v>
      </c>
      <c r="S4" s="303">
        <v>1</v>
      </c>
      <c r="T4" s="303" t="s">
        <v>105</v>
      </c>
      <c r="U4" s="303" t="s">
        <v>83</v>
      </c>
      <c r="V4" s="295" t="s">
        <v>120</v>
      </c>
      <c r="W4" s="303">
        <v>1</v>
      </c>
      <c r="X4" s="303" t="s">
        <v>120</v>
      </c>
      <c r="Y4" s="300" t="s">
        <v>120</v>
      </c>
      <c r="Z4" s="303" t="s">
        <v>121</v>
      </c>
      <c r="AA4" s="295" t="s">
        <v>120</v>
      </c>
      <c r="AB4" s="295" t="s">
        <v>120</v>
      </c>
      <c r="AC4" s="295" t="s">
        <v>120</v>
      </c>
      <c r="AD4" s="303">
        <v>3</v>
      </c>
      <c r="AE4" s="315" t="s">
        <v>137</v>
      </c>
      <c r="AF4" s="300" t="s">
        <v>136</v>
      </c>
      <c r="AG4" s="303" t="s">
        <v>121</v>
      </c>
      <c r="AH4" s="303" t="s">
        <v>217</v>
      </c>
      <c r="AI4" s="303" t="s">
        <v>220</v>
      </c>
      <c r="AJ4" s="303" t="s">
        <v>214</v>
      </c>
      <c r="AK4" s="303" t="s">
        <v>83</v>
      </c>
      <c r="AL4" s="307" t="s">
        <v>244</v>
      </c>
      <c r="AM4" s="307" t="s">
        <v>62</v>
      </c>
      <c r="AN4" s="307" t="s">
        <v>241</v>
      </c>
      <c r="AO4" s="307" t="s">
        <v>248</v>
      </c>
      <c r="AP4" s="307" t="s">
        <v>62</v>
      </c>
      <c r="AQ4" s="307" t="s">
        <v>208</v>
      </c>
      <c r="AR4" s="307"/>
      <c r="AS4" s="307" t="str">
        <f t="shared" si="0"/>
        <v>Config - 3, CxUHF Link, UL beam: WB-1, C RX-1, Ch EPC - M, DP IP port - 1, Ch Card - M, Router - M, CDU - M, Sy EPC - M, DP OP port - 3, Sy Card - M2, UHF 100 W SSPA-3</v>
      </c>
    </row>
    <row r="5" spans="1:45" ht="75" x14ac:dyDescent="0.25">
      <c r="A5" s="292">
        <v>4</v>
      </c>
      <c r="B5" s="307">
        <v>4</v>
      </c>
      <c r="C5" s="307">
        <v>6403.7</v>
      </c>
      <c r="D5" s="307">
        <v>258.8</v>
      </c>
      <c r="E5" s="307" t="s">
        <v>91</v>
      </c>
      <c r="F5" s="295" t="s">
        <v>26</v>
      </c>
      <c r="G5" s="307" t="s">
        <v>195</v>
      </c>
      <c r="H5" s="307" t="s">
        <v>278</v>
      </c>
      <c r="I5" s="295" t="s">
        <v>97</v>
      </c>
      <c r="J5" s="307" t="s">
        <v>196</v>
      </c>
      <c r="K5" s="307" t="s">
        <v>277</v>
      </c>
      <c r="L5" s="303" t="s">
        <v>273</v>
      </c>
      <c r="M5" s="303" t="s">
        <v>83</v>
      </c>
      <c r="N5" s="303" t="s">
        <v>101</v>
      </c>
      <c r="O5" s="303" t="s">
        <v>83</v>
      </c>
      <c r="P5" s="303" t="s">
        <v>236</v>
      </c>
      <c r="Q5" s="303" t="s">
        <v>102</v>
      </c>
      <c r="R5" s="303" t="s">
        <v>88</v>
      </c>
      <c r="S5" s="303">
        <v>1</v>
      </c>
      <c r="T5" s="303" t="s">
        <v>105</v>
      </c>
      <c r="U5" s="303" t="s">
        <v>83</v>
      </c>
      <c r="V5" s="295" t="s">
        <v>120</v>
      </c>
      <c r="W5" s="303">
        <v>1</v>
      </c>
      <c r="X5" s="303" t="s">
        <v>120</v>
      </c>
      <c r="Y5" s="300" t="s">
        <v>120</v>
      </c>
      <c r="Z5" s="303" t="s">
        <v>121</v>
      </c>
      <c r="AA5" s="295" t="s">
        <v>120</v>
      </c>
      <c r="AB5" s="295" t="s">
        <v>120</v>
      </c>
      <c r="AC5" s="295" t="s">
        <v>120</v>
      </c>
      <c r="AD5" s="303">
        <v>4</v>
      </c>
      <c r="AE5" s="315" t="s">
        <v>137</v>
      </c>
      <c r="AF5" s="300" t="s">
        <v>136</v>
      </c>
      <c r="AG5" s="303" t="s">
        <v>121</v>
      </c>
      <c r="AH5" s="303" t="s">
        <v>218</v>
      </c>
      <c r="AI5" s="303" t="s">
        <v>70</v>
      </c>
      <c r="AJ5" s="303" t="s">
        <v>215</v>
      </c>
      <c r="AK5" s="303" t="s">
        <v>83</v>
      </c>
      <c r="AL5" s="307" t="s">
        <v>245</v>
      </c>
      <c r="AM5" s="307" t="s">
        <v>251</v>
      </c>
      <c r="AN5" s="307" t="s">
        <v>240</v>
      </c>
      <c r="AO5" s="307" t="s">
        <v>249</v>
      </c>
      <c r="AP5" s="307" t="s">
        <v>251</v>
      </c>
      <c r="AQ5" s="307" t="s">
        <v>208</v>
      </c>
      <c r="AR5" s="307"/>
      <c r="AS5" s="307" t="str">
        <f t="shared" si="0"/>
        <v>Config - 4, CxUHF Link, UL beam: WB-1, C RX-1, Ch EPC - M, DP IP port - 1, Ch Card - M, Router - M, CDU - M, Sy EPC - M, DP OP port - 4, Sy Card - M2, UHF 100 W SSPA-4</v>
      </c>
    </row>
    <row r="6" spans="1:45" ht="75" x14ac:dyDescent="0.25">
      <c r="A6" s="292">
        <v>5</v>
      </c>
      <c r="B6" s="307">
        <v>5</v>
      </c>
      <c r="C6" s="307">
        <v>6388.0999999999995</v>
      </c>
      <c r="D6" s="307">
        <v>243.2</v>
      </c>
      <c r="E6" s="307" t="s">
        <v>91</v>
      </c>
      <c r="F6" s="295" t="s">
        <v>27</v>
      </c>
      <c r="G6" s="307" t="s">
        <v>195</v>
      </c>
      <c r="H6" s="307" t="s">
        <v>278</v>
      </c>
      <c r="I6" s="295" t="s">
        <v>276</v>
      </c>
      <c r="J6" s="307" t="s">
        <v>196</v>
      </c>
      <c r="K6" s="307" t="s">
        <v>277</v>
      </c>
      <c r="L6" s="303" t="s">
        <v>273</v>
      </c>
      <c r="M6" s="303" t="s">
        <v>88</v>
      </c>
      <c r="N6" s="303" t="s">
        <v>101</v>
      </c>
      <c r="O6" s="303" t="s">
        <v>83</v>
      </c>
      <c r="P6" s="295" t="s">
        <v>236</v>
      </c>
      <c r="Q6" s="303" t="s">
        <v>102</v>
      </c>
      <c r="R6" s="303" t="s">
        <v>88</v>
      </c>
      <c r="S6" s="303">
        <v>1</v>
      </c>
      <c r="T6" s="303" t="s">
        <v>105</v>
      </c>
      <c r="U6" s="303" t="s">
        <v>83</v>
      </c>
      <c r="V6" s="295" t="s">
        <v>120</v>
      </c>
      <c r="W6" s="303">
        <v>1</v>
      </c>
      <c r="X6" s="303" t="s">
        <v>120</v>
      </c>
      <c r="Y6" s="300" t="s">
        <v>120</v>
      </c>
      <c r="Z6" s="303" t="s">
        <v>121</v>
      </c>
      <c r="AA6" s="295" t="s">
        <v>120</v>
      </c>
      <c r="AB6" s="295" t="s">
        <v>120</v>
      </c>
      <c r="AC6" s="295" t="s">
        <v>120</v>
      </c>
      <c r="AD6" s="303">
        <v>1</v>
      </c>
      <c r="AE6" s="427" t="s">
        <v>209</v>
      </c>
      <c r="AF6" s="300" t="s">
        <v>136</v>
      </c>
      <c r="AG6" s="303" t="s">
        <v>121</v>
      </c>
      <c r="AH6" s="303" t="s">
        <v>210</v>
      </c>
      <c r="AI6" s="303" t="s">
        <v>211</v>
      </c>
      <c r="AJ6" s="303" t="s">
        <v>212</v>
      </c>
      <c r="AK6" s="303" t="s">
        <v>83</v>
      </c>
      <c r="AL6" s="307" t="s">
        <v>242</v>
      </c>
      <c r="AM6" s="307" t="s">
        <v>228</v>
      </c>
      <c r="AN6" s="295" t="s">
        <v>238</v>
      </c>
      <c r="AO6" s="307" t="s">
        <v>246</v>
      </c>
      <c r="AP6" s="307" t="s">
        <v>228</v>
      </c>
      <c r="AQ6" s="307" t="s">
        <v>208</v>
      </c>
      <c r="AR6" s="307"/>
      <c r="AS6" s="307" t="str">
        <f t="shared" si="0"/>
        <v>Config - 5, CxUHF Link, UL beam: WB-2, C RX-2, Ch EPC - M, DP IP port - 1, Ch Card - M, Router - M, CDU - M, Sy EPC - M, DP OP port - 1, Sy Card - M1, UHF 100 W SSPA-1</v>
      </c>
    </row>
    <row r="7" spans="1:45" ht="93.75" x14ac:dyDescent="0.25">
      <c r="A7" s="292">
        <v>6</v>
      </c>
      <c r="B7" s="307">
        <v>6</v>
      </c>
      <c r="C7" s="307">
        <v>6393.2999999999993</v>
      </c>
      <c r="D7" s="307">
        <v>248.4</v>
      </c>
      <c r="E7" s="307" t="s">
        <v>91</v>
      </c>
      <c r="F7" s="295" t="s">
        <v>27</v>
      </c>
      <c r="G7" s="307" t="s">
        <v>195</v>
      </c>
      <c r="H7" s="307" t="s">
        <v>278</v>
      </c>
      <c r="I7" s="295" t="s">
        <v>276</v>
      </c>
      <c r="J7" s="307" t="s">
        <v>196</v>
      </c>
      <c r="K7" s="307" t="s">
        <v>277</v>
      </c>
      <c r="L7" s="303" t="s">
        <v>273</v>
      </c>
      <c r="M7" s="303" t="s">
        <v>88</v>
      </c>
      <c r="N7" s="303" t="s">
        <v>101</v>
      </c>
      <c r="O7" s="303" t="s">
        <v>83</v>
      </c>
      <c r="P7" s="295" t="s">
        <v>236</v>
      </c>
      <c r="Q7" s="303" t="s">
        <v>102</v>
      </c>
      <c r="R7" s="303" t="s">
        <v>88</v>
      </c>
      <c r="S7" s="303">
        <v>1</v>
      </c>
      <c r="T7" s="303" t="s">
        <v>105</v>
      </c>
      <c r="U7" s="303" t="s">
        <v>83</v>
      </c>
      <c r="V7" s="295" t="s">
        <v>120</v>
      </c>
      <c r="W7" s="303">
        <v>1</v>
      </c>
      <c r="X7" s="303" t="s">
        <v>120</v>
      </c>
      <c r="Y7" s="300" t="s">
        <v>120</v>
      </c>
      <c r="Z7" s="303" t="s">
        <v>121</v>
      </c>
      <c r="AA7" s="295" t="s">
        <v>120</v>
      </c>
      <c r="AB7" s="295" t="s">
        <v>120</v>
      </c>
      <c r="AC7" s="295" t="s">
        <v>120</v>
      </c>
      <c r="AD7" s="303">
        <v>2</v>
      </c>
      <c r="AE7" s="427" t="s">
        <v>209</v>
      </c>
      <c r="AF7" s="300" t="s">
        <v>136</v>
      </c>
      <c r="AG7" s="303" t="s">
        <v>121</v>
      </c>
      <c r="AH7" s="303" t="s">
        <v>216</v>
      </c>
      <c r="AI7" s="303" t="s">
        <v>219</v>
      </c>
      <c r="AJ7" s="303" t="s">
        <v>213</v>
      </c>
      <c r="AK7" s="303" t="s">
        <v>83</v>
      </c>
      <c r="AL7" s="307" t="s">
        <v>243</v>
      </c>
      <c r="AM7" s="307" t="s">
        <v>250</v>
      </c>
      <c r="AN7" s="295" t="s">
        <v>239</v>
      </c>
      <c r="AO7" s="307" t="s">
        <v>247</v>
      </c>
      <c r="AP7" s="307" t="s">
        <v>250</v>
      </c>
      <c r="AQ7" s="307" t="s">
        <v>208</v>
      </c>
      <c r="AR7" s="307"/>
      <c r="AS7" s="307" t="str">
        <f t="shared" si="0"/>
        <v>Config - 6, CxUHF Link, UL beam: WB-2, C RX-2, Ch EPC - M, DP IP port - 1, Ch Card - M, Router - M, CDU - M, Sy EPC - M, DP OP port - 2, Sy Card - M1, UHF 100 W SSPA-2</v>
      </c>
    </row>
    <row r="8" spans="1:45" ht="93.75" x14ac:dyDescent="0.25">
      <c r="A8" s="292">
        <v>7</v>
      </c>
      <c r="B8" s="307">
        <v>7</v>
      </c>
      <c r="C8" s="307">
        <v>6398.5</v>
      </c>
      <c r="D8" s="307">
        <v>253.6</v>
      </c>
      <c r="E8" s="307" t="s">
        <v>91</v>
      </c>
      <c r="F8" s="295" t="s">
        <v>27</v>
      </c>
      <c r="G8" s="307" t="s">
        <v>195</v>
      </c>
      <c r="H8" s="307" t="s">
        <v>278</v>
      </c>
      <c r="I8" s="295" t="s">
        <v>276</v>
      </c>
      <c r="J8" s="307" t="s">
        <v>196</v>
      </c>
      <c r="K8" s="307" t="s">
        <v>277</v>
      </c>
      <c r="L8" s="303" t="s">
        <v>273</v>
      </c>
      <c r="M8" s="303" t="s">
        <v>88</v>
      </c>
      <c r="N8" s="303" t="s">
        <v>101</v>
      </c>
      <c r="O8" s="303" t="s">
        <v>83</v>
      </c>
      <c r="P8" s="295" t="s">
        <v>236</v>
      </c>
      <c r="Q8" s="303" t="s">
        <v>102</v>
      </c>
      <c r="R8" s="303" t="s">
        <v>88</v>
      </c>
      <c r="S8" s="303">
        <v>1</v>
      </c>
      <c r="T8" s="303" t="s">
        <v>105</v>
      </c>
      <c r="U8" s="303" t="s">
        <v>83</v>
      </c>
      <c r="V8" s="295" t="s">
        <v>120</v>
      </c>
      <c r="W8" s="303">
        <v>1</v>
      </c>
      <c r="X8" s="303" t="s">
        <v>120</v>
      </c>
      <c r="Y8" s="300" t="s">
        <v>120</v>
      </c>
      <c r="Z8" s="303" t="s">
        <v>121</v>
      </c>
      <c r="AA8" s="295" t="s">
        <v>120</v>
      </c>
      <c r="AB8" s="295" t="s">
        <v>120</v>
      </c>
      <c r="AC8" s="295" t="s">
        <v>120</v>
      </c>
      <c r="AD8" s="303">
        <v>3</v>
      </c>
      <c r="AE8" s="315" t="s">
        <v>137</v>
      </c>
      <c r="AF8" s="300" t="s">
        <v>136</v>
      </c>
      <c r="AG8" s="303" t="s">
        <v>121</v>
      </c>
      <c r="AH8" s="303" t="s">
        <v>217</v>
      </c>
      <c r="AI8" s="303" t="s">
        <v>220</v>
      </c>
      <c r="AJ8" s="303" t="s">
        <v>214</v>
      </c>
      <c r="AK8" s="303" t="s">
        <v>83</v>
      </c>
      <c r="AL8" s="307" t="s">
        <v>244</v>
      </c>
      <c r="AM8" s="307" t="s">
        <v>62</v>
      </c>
      <c r="AN8" s="295" t="s">
        <v>241</v>
      </c>
      <c r="AO8" s="307" t="s">
        <v>248</v>
      </c>
      <c r="AP8" s="307" t="s">
        <v>62</v>
      </c>
      <c r="AQ8" s="307" t="s">
        <v>208</v>
      </c>
      <c r="AR8" s="307"/>
      <c r="AS8" s="307" t="str">
        <f t="shared" si="0"/>
        <v>Config - 7, CxUHF Link, UL beam: WB-2, C RX-2, Ch EPC - M, DP IP port - 1, Ch Card - M, Router - M, CDU - M, Sy EPC - M, DP OP port - 3, Sy Card - M2, UHF 100 W SSPA-3</v>
      </c>
    </row>
    <row r="9" spans="1:45" ht="75" x14ac:dyDescent="0.25">
      <c r="A9" s="292">
        <v>8</v>
      </c>
      <c r="B9" s="307">
        <v>8</v>
      </c>
      <c r="C9" s="307">
        <v>6403.7</v>
      </c>
      <c r="D9" s="307">
        <v>258.8</v>
      </c>
      <c r="E9" s="307" t="s">
        <v>91</v>
      </c>
      <c r="F9" s="295" t="s">
        <v>27</v>
      </c>
      <c r="G9" s="307" t="s">
        <v>195</v>
      </c>
      <c r="H9" s="307" t="s">
        <v>278</v>
      </c>
      <c r="I9" s="295" t="s">
        <v>276</v>
      </c>
      <c r="J9" s="307" t="s">
        <v>196</v>
      </c>
      <c r="K9" s="307" t="s">
        <v>277</v>
      </c>
      <c r="L9" s="303" t="s">
        <v>273</v>
      </c>
      <c r="M9" s="303" t="s">
        <v>88</v>
      </c>
      <c r="N9" s="303" t="s">
        <v>101</v>
      </c>
      <c r="O9" s="303" t="s">
        <v>83</v>
      </c>
      <c r="P9" s="295" t="s">
        <v>236</v>
      </c>
      <c r="Q9" s="303" t="s">
        <v>102</v>
      </c>
      <c r="R9" s="303" t="s">
        <v>88</v>
      </c>
      <c r="S9" s="303">
        <v>1</v>
      </c>
      <c r="T9" s="303" t="s">
        <v>105</v>
      </c>
      <c r="U9" s="303" t="s">
        <v>83</v>
      </c>
      <c r="V9" s="295" t="s">
        <v>120</v>
      </c>
      <c r="W9" s="303">
        <v>1</v>
      </c>
      <c r="X9" s="303" t="s">
        <v>120</v>
      </c>
      <c r="Y9" s="300" t="s">
        <v>120</v>
      </c>
      <c r="Z9" s="303" t="s">
        <v>121</v>
      </c>
      <c r="AA9" s="295" t="s">
        <v>120</v>
      </c>
      <c r="AB9" s="295" t="s">
        <v>120</v>
      </c>
      <c r="AC9" s="295" t="s">
        <v>120</v>
      </c>
      <c r="AD9" s="303">
        <v>4</v>
      </c>
      <c r="AE9" s="315" t="s">
        <v>137</v>
      </c>
      <c r="AF9" s="300" t="s">
        <v>136</v>
      </c>
      <c r="AG9" s="303" t="s">
        <v>121</v>
      </c>
      <c r="AH9" s="303" t="s">
        <v>218</v>
      </c>
      <c r="AI9" s="303" t="s">
        <v>70</v>
      </c>
      <c r="AJ9" s="303" t="s">
        <v>215</v>
      </c>
      <c r="AK9" s="303" t="s">
        <v>83</v>
      </c>
      <c r="AL9" s="307" t="s">
        <v>245</v>
      </c>
      <c r="AM9" s="307" t="s">
        <v>251</v>
      </c>
      <c r="AN9" s="295" t="s">
        <v>240</v>
      </c>
      <c r="AO9" s="307" t="s">
        <v>249</v>
      </c>
      <c r="AP9" s="307" t="s">
        <v>251</v>
      </c>
      <c r="AQ9" s="307" t="s">
        <v>208</v>
      </c>
      <c r="AR9" s="307"/>
      <c r="AS9" s="307" t="str">
        <f t="shared" si="0"/>
        <v>Config - 8, CxUHF Link, UL beam: WB-2, C RX-2, Ch EPC - M, DP IP port - 1, Ch Card - M, Router - M, CDU - M, Sy EPC - M, DP OP port - 4, Sy Card - M2, UHF 100 W SSPA-4</v>
      </c>
    </row>
    <row r="10" spans="1:45" ht="56.25" x14ac:dyDescent="0.25">
      <c r="A10" s="307">
        <v>168</v>
      </c>
      <c r="B10" s="307">
        <v>1</v>
      </c>
      <c r="C10" s="307">
        <v>6388.0999999999995</v>
      </c>
      <c r="D10" s="307">
        <v>243.2</v>
      </c>
      <c r="E10" s="307" t="s">
        <v>91</v>
      </c>
      <c r="F10" s="295" t="s">
        <v>26</v>
      </c>
      <c r="G10" s="307" t="s">
        <v>195</v>
      </c>
      <c r="H10" s="307" t="s">
        <v>278</v>
      </c>
      <c r="I10" s="295" t="s">
        <v>97</v>
      </c>
      <c r="J10" s="307" t="s">
        <v>196</v>
      </c>
      <c r="K10" s="307" t="s">
        <v>277</v>
      </c>
      <c r="L10" s="303" t="s">
        <v>273</v>
      </c>
      <c r="M10" s="303" t="s">
        <v>83</v>
      </c>
      <c r="N10" s="303" t="s">
        <v>101</v>
      </c>
      <c r="O10" s="303" t="s">
        <v>83</v>
      </c>
      <c r="P10" s="303" t="s">
        <v>236</v>
      </c>
      <c r="Q10" s="303" t="s">
        <v>102</v>
      </c>
      <c r="R10" s="303" t="s">
        <v>88</v>
      </c>
      <c r="S10" s="303">
        <v>2</v>
      </c>
      <c r="T10" s="303" t="s">
        <v>105</v>
      </c>
      <c r="U10" s="303" t="s">
        <v>88</v>
      </c>
      <c r="V10" s="295" t="s">
        <v>120</v>
      </c>
      <c r="W10" s="303" t="s">
        <v>114</v>
      </c>
      <c r="X10" s="303" t="s">
        <v>121</v>
      </c>
      <c r="Y10" s="300" t="s">
        <v>121</v>
      </c>
      <c r="Z10" s="303" t="s">
        <v>120</v>
      </c>
      <c r="AA10" s="295" t="s">
        <v>120</v>
      </c>
      <c r="AB10" s="295" t="s">
        <v>120</v>
      </c>
      <c r="AC10" s="295" t="s">
        <v>120</v>
      </c>
      <c r="AD10" s="303" t="s">
        <v>114</v>
      </c>
      <c r="AE10" s="299" t="s">
        <v>114</v>
      </c>
      <c r="AF10" s="300" t="s">
        <v>344</v>
      </c>
      <c r="AG10" s="303" t="s">
        <v>209</v>
      </c>
      <c r="AH10" s="303" t="s">
        <v>210</v>
      </c>
      <c r="AI10" s="303" t="s">
        <v>70</v>
      </c>
      <c r="AJ10" s="303" t="s">
        <v>212</v>
      </c>
      <c r="AK10" s="303" t="s">
        <v>83</v>
      </c>
      <c r="AL10" s="307" t="s">
        <v>242</v>
      </c>
      <c r="AM10" s="307" t="s">
        <v>228</v>
      </c>
      <c r="AN10" s="307" t="s">
        <v>238</v>
      </c>
      <c r="AO10" s="307" t="s">
        <v>246</v>
      </c>
      <c r="AP10" s="307" t="s">
        <v>228</v>
      </c>
      <c r="AQ10" s="307" t="s">
        <v>208</v>
      </c>
      <c r="AR10" s="307"/>
      <c r="AS10" s="307" t="str">
        <f t="shared" si="0"/>
        <v>Config - 168, CxUHF Link, UL beam: WB-1, C RX-1, Ch EPC - M, DP IP port - R1, Ch Card - R, Router - M, CDU - M, Sy EPC - M, DP OP port - R1, Sy Card - R1, UHF 100 W SSPA-1</v>
      </c>
    </row>
    <row r="11" spans="1:45" ht="75" x14ac:dyDescent="0.25">
      <c r="A11" s="307">
        <v>169</v>
      </c>
      <c r="B11" s="307">
        <v>2</v>
      </c>
      <c r="C11" s="307">
        <v>6393.2999999999993</v>
      </c>
      <c r="D11" s="307">
        <v>248.4</v>
      </c>
      <c r="E11" s="307" t="s">
        <v>91</v>
      </c>
      <c r="F11" s="295" t="s">
        <v>26</v>
      </c>
      <c r="G11" s="307" t="s">
        <v>195</v>
      </c>
      <c r="H11" s="307" t="s">
        <v>278</v>
      </c>
      <c r="I11" s="295" t="s">
        <v>97</v>
      </c>
      <c r="J11" s="307" t="s">
        <v>196</v>
      </c>
      <c r="K11" s="307" t="s">
        <v>277</v>
      </c>
      <c r="L11" s="303" t="s">
        <v>273</v>
      </c>
      <c r="M11" s="303" t="s">
        <v>83</v>
      </c>
      <c r="N11" s="303" t="s">
        <v>101</v>
      </c>
      <c r="O11" s="303" t="s">
        <v>83</v>
      </c>
      <c r="P11" s="303" t="s">
        <v>236</v>
      </c>
      <c r="Q11" s="303" t="s">
        <v>102</v>
      </c>
      <c r="R11" s="303" t="s">
        <v>88</v>
      </c>
      <c r="S11" s="303">
        <v>2</v>
      </c>
      <c r="T11" s="303" t="s">
        <v>105</v>
      </c>
      <c r="U11" s="303" t="s">
        <v>88</v>
      </c>
      <c r="V11" s="295" t="s">
        <v>120</v>
      </c>
      <c r="W11" s="303" t="s">
        <v>114</v>
      </c>
      <c r="X11" s="303" t="s">
        <v>121</v>
      </c>
      <c r="Y11" s="300" t="s">
        <v>121</v>
      </c>
      <c r="Z11" s="303" t="s">
        <v>120</v>
      </c>
      <c r="AA11" s="295" t="s">
        <v>120</v>
      </c>
      <c r="AB11" s="295" t="s">
        <v>120</v>
      </c>
      <c r="AC11" s="295" t="s">
        <v>120</v>
      </c>
      <c r="AD11" s="303">
        <v>3</v>
      </c>
      <c r="AE11" s="315" t="s">
        <v>137</v>
      </c>
      <c r="AF11" s="300" t="s">
        <v>344</v>
      </c>
      <c r="AG11" s="303" t="s">
        <v>209</v>
      </c>
      <c r="AH11" s="303" t="s">
        <v>216</v>
      </c>
      <c r="AI11" s="303" t="s">
        <v>227</v>
      </c>
      <c r="AJ11" s="303" t="s">
        <v>213</v>
      </c>
      <c r="AK11" s="303" t="s">
        <v>83</v>
      </c>
      <c r="AL11" s="307" t="s">
        <v>243</v>
      </c>
      <c r="AM11" s="307" t="s">
        <v>250</v>
      </c>
      <c r="AN11" s="307" t="s">
        <v>239</v>
      </c>
      <c r="AO11" s="307" t="s">
        <v>247</v>
      </c>
      <c r="AP11" s="307" t="s">
        <v>250</v>
      </c>
      <c r="AQ11" s="307" t="s">
        <v>208</v>
      </c>
      <c r="AR11" s="307"/>
      <c r="AS11" s="307" t="str">
        <f t="shared" si="0"/>
        <v>Config - 169, CxUHF Link, UL beam: WB-1, C RX-1, Ch EPC - M, DP IP port - R1, Ch Card - R, Router - M, CDU - M, Sy EPC - M, DP OP port - 3, Sy Card - M2, UHF 100 W SSPA-2</v>
      </c>
    </row>
    <row r="12" spans="1:45" ht="75" x14ac:dyDescent="0.25">
      <c r="A12" s="307">
        <v>170</v>
      </c>
      <c r="B12" s="307">
        <v>3</v>
      </c>
      <c r="C12" s="307">
        <v>6398.5</v>
      </c>
      <c r="D12" s="307">
        <v>253.6</v>
      </c>
      <c r="E12" s="307" t="s">
        <v>91</v>
      </c>
      <c r="F12" s="295" t="s">
        <v>26</v>
      </c>
      <c r="G12" s="307" t="s">
        <v>195</v>
      </c>
      <c r="H12" s="307" t="s">
        <v>278</v>
      </c>
      <c r="I12" s="295" t="s">
        <v>97</v>
      </c>
      <c r="J12" s="307" t="s">
        <v>196</v>
      </c>
      <c r="K12" s="307" t="s">
        <v>277</v>
      </c>
      <c r="L12" s="303" t="s">
        <v>273</v>
      </c>
      <c r="M12" s="303" t="s">
        <v>83</v>
      </c>
      <c r="N12" s="303" t="s">
        <v>101</v>
      </c>
      <c r="O12" s="303" t="s">
        <v>83</v>
      </c>
      <c r="P12" s="303" t="s">
        <v>236</v>
      </c>
      <c r="Q12" s="303" t="s">
        <v>102</v>
      </c>
      <c r="R12" s="303" t="s">
        <v>88</v>
      </c>
      <c r="S12" s="303">
        <v>2</v>
      </c>
      <c r="T12" s="303" t="s">
        <v>105</v>
      </c>
      <c r="U12" s="303" t="s">
        <v>88</v>
      </c>
      <c r="V12" s="295" t="s">
        <v>120</v>
      </c>
      <c r="W12" s="303" t="s">
        <v>114</v>
      </c>
      <c r="X12" s="303" t="s">
        <v>121</v>
      </c>
      <c r="Y12" s="300" t="s">
        <v>121</v>
      </c>
      <c r="Z12" s="303" t="s">
        <v>120</v>
      </c>
      <c r="AA12" s="295" t="s">
        <v>120</v>
      </c>
      <c r="AB12" s="295" t="s">
        <v>120</v>
      </c>
      <c r="AC12" s="295" t="s">
        <v>120</v>
      </c>
      <c r="AD12" s="303" t="s">
        <v>115</v>
      </c>
      <c r="AE12" s="299" t="s">
        <v>114</v>
      </c>
      <c r="AF12" s="300" t="s">
        <v>344</v>
      </c>
      <c r="AG12" s="303" t="s">
        <v>209</v>
      </c>
      <c r="AH12" s="303" t="s">
        <v>217</v>
      </c>
      <c r="AI12" s="303" t="s">
        <v>229</v>
      </c>
      <c r="AJ12" s="303" t="s">
        <v>214</v>
      </c>
      <c r="AK12" s="303" t="s">
        <v>83</v>
      </c>
      <c r="AL12" s="307" t="s">
        <v>244</v>
      </c>
      <c r="AM12" s="307" t="s">
        <v>62</v>
      </c>
      <c r="AN12" s="307" t="s">
        <v>241</v>
      </c>
      <c r="AO12" s="307" t="s">
        <v>248</v>
      </c>
      <c r="AP12" s="307" t="s">
        <v>62</v>
      </c>
      <c r="AQ12" s="307" t="s">
        <v>208</v>
      </c>
      <c r="AR12" s="307"/>
      <c r="AS12" s="307" t="str">
        <f t="shared" si="0"/>
        <v>Config - 170, CxUHF Link, UL beam: WB-1, C RX-1, Ch EPC - M, DP IP port - R1, Ch Card - R, Router - M, CDU - M, Sy EPC - M, DP OP port - R2, Sy Card - R1, UHF 100 W SSPA-3</v>
      </c>
    </row>
    <row r="13" spans="1:45" ht="56.25" x14ac:dyDescent="0.25">
      <c r="A13" s="307">
        <v>171</v>
      </c>
      <c r="B13" s="307">
        <v>4</v>
      </c>
      <c r="C13" s="307">
        <v>6403.7</v>
      </c>
      <c r="D13" s="307">
        <v>258.8</v>
      </c>
      <c r="E13" s="307" t="s">
        <v>91</v>
      </c>
      <c r="F13" s="295" t="s">
        <v>26</v>
      </c>
      <c r="G13" s="307" t="s">
        <v>195</v>
      </c>
      <c r="H13" s="307" t="s">
        <v>278</v>
      </c>
      <c r="I13" s="295" t="s">
        <v>97</v>
      </c>
      <c r="J13" s="307" t="s">
        <v>196</v>
      </c>
      <c r="K13" s="307" t="s">
        <v>277</v>
      </c>
      <c r="L13" s="303" t="s">
        <v>273</v>
      </c>
      <c r="M13" s="303" t="s">
        <v>83</v>
      </c>
      <c r="N13" s="303" t="s">
        <v>101</v>
      </c>
      <c r="O13" s="303" t="s">
        <v>83</v>
      </c>
      <c r="P13" s="303" t="s">
        <v>236</v>
      </c>
      <c r="Q13" s="303" t="s">
        <v>102</v>
      </c>
      <c r="R13" s="303" t="s">
        <v>88</v>
      </c>
      <c r="S13" s="303">
        <v>2</v>
      </c>
      <c r="T13" s="303" t="s">
        <v>105</v>
      </c>
      <c r="U13" s="303" t="s">
        <v>88</v>
      </c>
      <c r="V13" s="295" t="s">
        <v>120</v>
      </c>
      <c r="W13" s="303" t="s">
        <v>114</v>
      </c>
      <c r="X13" s="303" t="s">
        <v>121</v>
      </c>
      <c r="Y13" s="300" t="s">
        <v>121</v>
      </c>
      <c r="Z13" s="303" t="s">
        <v>120</v>
      </c>
      <c r="AA13" s="295" t="s">
        <v>120</v>
      </c>
      <c r="AB13" s="295" t="s">
        <v>120</v>
      </c>
      <c r="AC13" s="295" t="s">
        <v>120</v>
      </c>
      <c r="AD13" s="303">
        <v>4</v>
      </c>
      <c r="AE13" s="315" t="s">
        <v>137</v>
      </c>
      <c r="AF13" s="300" t="s">
        <v>344</v>
      </c>
      <c r="AG13" s="303" t="s">
        <v>209</v>
      </c>
      <c r="AH13" s="303" t="s">
        <v>218</v>
      </c>
      <c r="AI13" s="303" t="s">
        <v>228</v>
      </c>
      <c r="AJ13" s="303" t="s">
        <v>215</v>
      </c>
      <c r="AK13" s="303" t="s">
        <v>83</v>
      </c>
      <c r="AL13" s="307" t="s">
        <v>245</v>
      </c>
      <c r="AM13" s="307" t="s">
        <v>251</v>
      </c>
      <c r="AN13" s="307" t="s">
        <v>240</v>
      </c>
      <c r="AO13" s="307" t="s">
        <v>249</v>
      </c>
      <c r="AP13" s="307" t="s">
        <v>251</v>
      </c>
      <c r="AQ13" s="307" t="s">
        <v>208</v>
      </c>
      <c r="AR13" s="307"/>
      <c r="AS13" s="307" t="str">
        <f t="shared" si="0"/>
        <v>Config - 171, CxUHF Link, UL beam: WB-1, C RX-1, Ch EPC - M, DP IP port - R1, Ch Card - R, Router - M, CDU - M, Sy EPC - M, DP OP port - 4, Sy Card - M2, UHF 100 W SSPA-4</v>
      </c>
    </row>
    <row r="14" spans="1:45" ht="56.25" x14ac:dyDescent="0.25">
      <c r="A14" s="307">
        <v>172</v>
      </c>
      <c r="B14" s="307">
        <v>1</v>
      </c>
      <c r="C14" s="307">
        <v>6388.0999999999995</v>
      </c>
      <c r="D14" s="307">
        <v>243.2</v>
      </c>
      <c r="E14" s="307" t="s">
        <v>91</v>
      </c>
      <c r="F14" s="295" t="s">
        <v>26</v>
      </c>
      <c r="G14" s="307" t="s">
        <v>195</v>
      </c>
      <c r="H14" s="307" t="s">
        <v>278</v>
      </c>
      <c r="I14" s="295" t="s">
        <v>97</v>
      </c>
      <c r="J14" s="307" t="s">
        <v>196</v>
      </c>
      <c r="K14" s="307" t="s">
        <v>277</v>
      </c>
      <c r="L14" s="303" t="s">
        <v>273</v>
      </c>
      <c r="M14" s="303" t="s">
        <v>83</v>
      </c>
      <c r="N14" s="303" t="s">
        <v>101</v>
      </c>
      <c r="O14" s="303" t="s">
        <v>88</v>
      </c>
      <c r="P14" s="303" t="s">
        <v>237</v>
      </c>
      <c r="Q14" s="303" t="s">
        <v>102</v>
      </c>
      <c r="R14" s="303" t="s">
        <v>83</v>
      </c>
      <c r="S14" s="303">
        <v>3</v>
      </c>
      <c r="T14" s="303" t="s">
        <v>105</v>
      </c>
      <c r="U14" s="303" t="s">
        <v>88</v>
      </c>
      <c r="V14" s="295" t="s">
        <v>121</v>
      </c>
      <c r="W14" s="303" t="s">
        <v>114</v>
      </c>
      <c r="X14" s="303" t="s">
        <v>121</v>
      </c>
      <c r="Y14" s="300" t="s">
        <v>121</v>
      </c>
      <c r="Z14" s="303" t="s">
        <v>120</v>
      </c>
      <c r="AA14" s="295" t="s">
        <v>121</v>
      </c>
      <c r="AB14" s="295" t="s">
        <v>121</v>
      </c>
      <c r="AC14" s="295" t="s">
        <v>121</v>
      </c>
      <c r="AD14" s="303">
        <v>1</v>
      </c>
      <c r="AE14" s="303" t="s">
        <v>209</v>
      </c>
      <c r="AF14" s="300" t="s">
        <v>345</v>
      </c>
      <c r="AG14" s="303" t="s">
        <v>137</v>
      </c>
      <c r="AH14" s="303" t="s">
        <v>210</v>
      </c>
      <c r="AI14" s="303" t="s">
        <v>232</v>
      </c>
      <c r="AJ14" s="303" t="s">
        <v>212</v>
      </c>
      <c r="AK14" s="303" t="s">
        <v>83</v>
      </c>
      <c r="AL14" s="307" t="s">
        <v>242</v>
      </c>
      <c r="AM14" s="307" t="s">
        <v>251</v>
      </c>
      <c r="AN14" s="317" t="s">
        <v>239</v>
      </c>
      <c r="AO14" s="307" t="s">
        <v>246</v>
      </c>
      <c r="AP14" s="307" t="s">
        <v>251</v>
      </c>
      <c r="AQ14" s="307" t="s">
        <v>208</v>
      </c>
      <c r="AR14" s="307"/>
      <c r="AS14" s="307" t="str">
        <f t="shared" si="0"/>
        <v>Config - 172, CxUHF Link, UL beam: WB-1, C RX-1, Ch EPC - R, DP IP port - R1, Ch Card - R, Router - R, CDU - R, Sy EPC - R, DP OP port - 1, Sy Card - M1, UHF 100 W SSPA-2</v>
      </c>
    </row>
    <row r="15" spans="1:45" ht="75" x14ac:dyDescent="0.25">
      <c r="A15" s="307">
        <v>173</v>
      </c>
      <c r="B15" s="307">
        <v>2</v>
      </c>
      <c r="C15" s="307">
        <v>6393.2999999999993</v>
      </c>
      <c r="D15" s="307">
        <v>248.4</v>
      </c>
      <c r="E15" s="307" t="s">
        <v>91</v>
      </c>
      <c r="F15" s="295" t="s">
        <v>26</v>
      </c>
      <c r="G15" s="307" t="s">
        <v>195</v>
      </c>
      <c r="H15" s="307" t="s">
        <v>278</v>
      </c>
      <c r="I15" s="295" t="s">
        <v>97</v>
      </c>
      <c r="J15" s="307" t="s">
        <v>196</v>
      </c>
      <c r="K15" s="307" t="s">
        <v>277</v>
      </c>
      <c r="L15" s="303" t="s">
        <v>273</v>
      </c>
      <c r="M15" s="303" t="s">
        <v>83</v>
      </c>
      <c r="N15" s="303" t="s">
        <v>101</v>
      </c>
      <c r="O15" s="303" t="s">
        <v>88</v>
      </c>
      <c r="P15" s="303" t="s">
        <v>237</v>
      </c>
      <c r="Q15" s="303" t="s">
        <v>102</v>
      </c>
      <c r="R15" s="303" t="s">
        <v>83</v>
      </c>
      <c r="S15" s="303">
        <v>3</v>
      </c>
      <c r="T15" s="303" t="s">
        <v>105</v>
      </c>
      <c r="U15" s="303" t="s">
        <v>88</v>
      </c>
      <c r="V15" s="295" t="s">
        <v>121</v>
      </c>
      <c r="W15" s="303" t="s">
        <v>114</v>
      </c>
      <c r="X15" s="303" t="s">
        <v>121</v>
      </c>
      <c r="Y15" s="300" t="s">
        <v>121</v>
      </c>
      <c r="Z15" s="303" t="s">
        <v>120</v>
      </c>
      <c r="AA15" s="295" t="s">
        <v>121</v>
      </c>
      <c r="AB15" s="295" t="s">
        <v>121</v>
      </c>
      <c r="AC15" s="295" t="s">
        <v>121</v>
      </c>
      <c r="AD15" s="303" t="s">
        <v>114</v>
      </c>
      <c r="AE15" s="303" t="s">
        <v>114</v>
      </c>
      <c r="AF15" s="300" t="s">
        <v>345</v>
      </c>
      <c r="AG15" s="303" t="s">
        <v>137</v>
      </c>
      <c r="AH15" s="303" t="s">
        <v>216</v>
      </c>
      <c r="AI15" s="303" t="s">
        <v>233</v>
      </c>
      <c r="AJ15" s="303" t="s">
        <v>213</v>
      </c>
      <c r="AK15" s="303" t="s">
        <v>83</v>
      </c>
      <c r="AL15" s="307" t="s">
        <v>243</v>
      </c>
      <c r="AM15" s="307" t="s">
        <v>62</v>
      </c>
      <c r="AN15" s="317" t="s">
        <v>252</v>
      </c>
      <c r="AO15" s="307" t="s">
        <v>247</v>
      </c>
      <c r="AP15" s="428" t="s">
        <v>62</v>
      </c>
      <c r="AQ15" s="307" t="s">
        <v>208</v>
      </c>
      <c r="AR15" s="307"/>
      <c r="AS15" s="307" t="str">
        <f t="shared" si="0"/>
        <v>Config - 173, CxUHF Link, UL beam: WB-1, C RX-1, Ch EPC - R, DP IP port - R1, Ch Card - R, Router - R, CDU - R, Sy EPC - R, DP OP port - R1, Sy Card - R1, UHF 100 W SSPA-R1</v>
      </c>
    </row>
    <row r="16" spans="1:45" ht="75" x14ac:dyDescent="0.25">
      <c r="A16" s="307">
        <v>174</v>
      </c>
      <c r="B16" s="307">
        <v>3</v>
      </c>
      <c r="C16" s="307">
        <v>6398.5</v>
      </c>
      <c r="D16" s="307">
        <v>253.6</v>
      </c>
      <c r="E16" s="307" t="s">
        <v>91</v>
      </c>
      <c r="F16" s="295" t="s">
        <v>26</v>
      </c>
      <c r="G16" s="307" t="s">
        <v>195</v>
      </c>
      <c r="H16" s="307" t="s">
        <v>278</v>
      </c>
      <c r="I16" s="295" t="s">
        <v>97</v>
      </c>
      <c r="J16" s="307" t="s">
        <v>196</v>
      </c>
      <c r="K16" s="307" t="s">
        <v>277</v>
      </c>
      <c r="L16" s="303" t="s">
        <v>273</v>
      </c>
      <c r="M16" s="303" t="s">
        <v>83</v>
      </c>
      <c r="N16" s="303" t="s">
        <v>101</v>
      </c>
      <c r="O16" s="303" t="s">
        <v>88</v>
      </c>
      <c r="P16" s="303" t="s">
        <v>237</v>
      </c>
      <c r="Q16" s="303" t="s">
        <v>102</v>
      </c>
      <c r="R16" s="303" t="s">
        <v>83</v>
      </c>
      <c r="S16" s="303">
        <v>3</v>
      </c>
      <c r="T16" s="303" t="s">
        <v>105</v>
      </c>
      <c r="U16" s="303" t="s">
        <v>88</v>
      </c>
      <c r="V16" s="295" t="s">
        <v>121</v>
      </c>
      <c r="W16" s="303" t="s">
        <v>114</v>
      </c>
      <c r="X16" s="303" t="s">
        <v>121</v>
      </c>
      <c r="Y16" s="300" t="s">
        <v>121</v>
      </c>
      <c r="Z16" s="303" t="s">
        <v>120</v>
      </c>
      <c r="AA16" s="295" t="s">
        <v>121</v>
      </c>
      <c r="AB16" s="295" t="s">
        <v>121</v>
      </c>
      <c r="AC16" s="295" t="s">
        <v>121</v>
      </c>
      <c r="AD16" s="303">
        <v>2</v>
      </c>
      <c r="AE16" s="303" t="s">
        <v>209</v>
      </c>
      <c r="AF16" s="300" t="s">
        <v>345</v>
      </c>
      <c r="AG16" s="303" t="s">
        <v>137</v>
      </c>
      <c r="AH16" s="303" t="s">
        <v>217</v>
      </c>
      <c r="AI16" s="303" t="s">
        <v>234</v>
      </c>
      <c r="AJ16" s="303" t="s">
        <v>214</v>
      </c>
      <c r="AK16" s="303" t="s">
        <v>83</v>
      </c>
      <c r="AL16" s="307" t="s">
        <v>244</v>
      </c>
      <c r="AM16" s="307" t="s">
        <v>250</v>
      </c>
      <c r="AN16" s="317" t="s">
        <v>252</v>
      </c>
      <c r="AO16" s="307" t="s">
        <v>248</v>
      </c>
      <c r="AP16" s="307" t="s">
        <v>250</v>
      </c>
      <c r="AQ16" s="307" t="s">
        <v>208</v>
      </c>
      <c r="AR16" s="307"/>
      <c r="AS16" s="307" t="str">
        <f t="shared" si="0"/>
        <v>Config - 174, CxUHF Link, UL beam: WB-1, C RX-1, Ch EPC - R, DP IP port - R1, Ch Card - R, Router - R, CDU - R, Sy EPC - R, DP OP port - 2, Sy Card - M1, UHF 100 W SSPA-R1</v>
      </c>
    </row>
    <row r="17" spans="1:45" ht="56.25" x14ac:dyDescent="0.25">
      <c r="A17" s="307">
        <v>175</v>
      </c>
      <c r="B17" s="307">
        <v>4</v>
      </c>
      <c r="C17" s="307">
        <v>6403.7</v>
      </c>
      <c r="D17" s="307">
        <v>258.8</v>
      </c>
      <c r="E17" s="307" t="s">
        <v>91</v>
      </c>
      <c r="F17" s="295" t="s">
        <v>26</v>
      </c>
      <c r="G17" s="307" t="s">
        <v>195</v>
      </c>
      <c r="H17" s="307" t="s">
        <v>278</v>
      </c>
      <c r="I17" s="295" t="s">
        <v>97</v>
      </c>
      <c r="J17" s="307" t="s">
        <v>196</v>
      </c>
      <c r="K17" s="307" t="s">
        <v>277</v>
      </c>
      <c r="L17" s="303" t="s">
        <v>273</v>
      </c>
      <c r="M17" s="303" t="s">
        <v>83</v>
      </c>
      <c r="N17" s="303" t="s">
        <v>101</v>
      </c>
      <c r="O17" s="303" t="s">
        <v>88</v>
      </c>
      <c r="P17" s="303" t="s">
        <v>237</v>
      </c>
      <c r="Q17" s="303" t="s">
        <v>102</v>
      </c>
      <c r="R17" s="303" t="s">
        <v>83</v>
      </c>
      <c r="S17" s="303">
        <v>3</v>
      </c>
      <c r="T17" s="303" t="s">
        <v>105</v>
      </c>
      <c r="U17" s="303" t="s">
        <v>88</v>
      </c>
      <c r="V17" s="295" t="s">
        <v>121</v>
      </c>
      <c r="W17" s="303" t="s">
        <v>114</v>
      </c>
      <c r="X17" s="303" t="s">
        <v>121</v>
      </c>
      <c r="Y17" s="300" t="s">
        <v>121</v>
      </c>
      <c r="Z17" s="303" t="s">
        <v>120</v>
      </c>
      <c r="AA17" s="295" t="s">
        <v>121</v>
      </c>
      <c r="AB17" s="295" t="s">
        <v>121</v>
      </c>
      <c r="AC17" s="295" t="s">
        <v>121</v>
      </c>
      <c r="AD17" s="303" t="s">
        <v>115</v>
      </c>
      <c r="AE17" s="303" t="s">
        <v>114</v>
      </c>
      <c r="AF17" s="300" t="s">
        <v>345</v>
      </c>
      <c r="AG17" s="303" t="s">
        <v>137</v>
      </c>
      <c r="AH17" s="303" t="s">
        <v>218</v>
      </c>
      <c r="AI17" s="303" t="s">
        <v>66</v>
      </c>
      <c r="AJ17" s="303" t="s">
        <v>215</v>
      </c>
      <c r="AK17" s="303" t="s">
        <v>83</v>
      </c>
      <c r="AL17" s="307" t="s">
        <v>245</v>
      </c>
      <c r="AM17" s="307" t="s">
        <v>228</v>
      </c>
      <c r="AN17" s="317" t="s">
        <v>241</v>
      </c>
      <c r="AO17" s="307" t="s">
        <v>249</v>
      </c>
      <c r="AP17" s="307" t="s">
        <v>228</v>
      </c>
      <c r="AQ17" s="307" t="s">
        <v>208</v>
      </c>
      <c r="AR17" s="307"/>
      <c r="AS17" s="307" t="str">
        <f t="shared" si="0"/>
        <v>Config - 175, CxUHF Link, UL beam: WB-1, C RX-1, Ch EPC - R, DP IP port - R1, Ch Card - R, Router - R, CDU - R, Sy EPC - R, DP OP port - R2, Sy Card - R1, UHF 100 W SSPA-3</v>
      </c>
    </row>
    <row r="18" spans="1:45" ht="56.25" x14ac:dyDescent="0.25">
      <c r="A18" s="307">
        <v>176</v>
      </c>
      <c r="B18" s="307">
        <v>1</v>
      </c>
      <c r="C18" s="307">
        <v>6388.0999999999995</v>
      </c>
      <c r="D18" s="307">
        <v>243.2</v>
      </c>
      <c r="E18" s="307" t="s">
        <v>91</v>
      </c>
      <c r="F18" s="295" t="s">
        <v>26</v>
      </c>
      <c r="G18" s="307" t="s">
        <v>195</v>
      </c>
      <c r="H18" s="307" t="s">
        <v>278</v>
      </c>
      <c r="I18" s="295" t="s">
        <v>97</v>
      </c>
      <c r="J18" s="307" t="s">
        <v>196</v>
      </c>
      <c r="K18" s="307" t="s">
        <v>277</v>
      </c>
      <c r="L18" s="303" t="s">
        <v>273</v>
      </c>
      <c r="M18" s="303" t="s">
        <v>83</v>
      </c>
      <c r="N18" s="303" t="s">
        <v>101</v>
      </c>
      <c r="O18" s="303" t="s">
        <v>88</v>
      </c>
      <c r="P18" s="303" t="s">
        <v>237</v>
      </c>
      <c r="Q18" s="303" t="s">
        <v>102</v>
      </c>
      <c r="R18" s="303" t="s">
        <v>83</v>
      </c>
      <c r="S18" s="303">
        <v>4</v>
      </c>
      <c r="T18" s="303" t="s">
        <v>105</v>
      </c>
      <c r="U18" s="303" t="s">
        <v>83</v>
      </c>
      <c r="V18" s="295" t="s">
        <v>121</v>
      </c>
      <c r="W18" s="303">
        <v>1</v>
      </c>
      <c r="X18" s="303" t="s">
        <v>120</v>
      </c>
      <c r="Y18" s="300" t="s">
        <v>120</v>
      </c>
      <c r="Z18" s="303" t="s">
        <v>121</v>
      </c>
      <c r="AA18" s="295" t="s">
        <v>121</v>
      </c>
      <c r="AB18" s="295" t="s">
        <v>121</v>
      </c>
      <c r="AC18" s="295" t="s">
        <v>121</v>
      </c>
      <c r="AD18" s="303">
        <v>1</v>
      </c>
      <c r="AE18" s="303" t="s">
        <v>209</v>
      </c>
      <c r="AF18" s="300" t="s">
        <v>136</v>
      </c>
      <c r="AG18" s="303" t="s">
        <v>121</v>
      </c>
      <c r="AH18" s="303" t="s">
        <v>210</v>
      </c>
      <c r="AI18" s="303" t="s">
        <v>211</v>
      </c>
      <c r="AJ18" s="303" t="s">
        <v>212</v>
      </c>
      <c r="AK18" s="303" t="s">
        <v>83</v>
      </c>
      <c r="AL18" s="307" t="s">
        <v>242</v>
      </c>
      <c r="AM18" s="307" t="s">
        <v>251</v>
      </c>
      <c r="AN18" s="317" t="s">
        <v>239</v>
      </c>
      <c r="AO18" s="307" t="s">
        <v>246</v>
      </c>
      <c r="AP18" s="307" t="s">
        <v>251</v>
      </c>
      <c r="AQ18" s="307" t="s">
        <v>208</v>
      </c>
      <c r="AR18" s="307"/>
      <c r="AS18" s="307" t="str">
        <f t="shared" si="0"/>
        <v>Config - 176, CxUHF Link, UL beam: WB-1, C RX-1, Ch EPC - R, DP IP port - 1, Ch Card - M, Router - R, CDU - R, Sy EPC - R, DP OP port - 1, Sy Card - M1, UHF 100 W SSPA-2</v>
      </c>
    </row>
    <row r="19" spans="1:45" ht="75" x14ac:dyDescent="0.25">
      <c r="A19" s="307">
        <v>177</v>
      </c>
      <c r="B19" s="307">
        <v>2</v>
      </c>
      <c r="C19" s="307">
        <v>6393.2999999999993</v>
      </c>
      <c r="D19" s="307">
        <v>248.4</v>
      </c>
      <c r="E19" s="307" t="s">
        <v>91</v>
      </c>
      <c r="F19" s="295" t="s">
        <v>26</v>
      </c>
      <c r="G19" s="307" t="s">
        <v>195</v>
      </c>
      <c r="H19" s="307" t="s">
        <v>278</v>
      </c>
      <c r="I19" s="295" t="s">
        <v>97</v>
      </c>
      <c r="J19" s="307" t="s">
        <v>196</v>
      </c>
      <c r="K19" s="307" t="s">
        <v>277</v>
      </c>
      <c r="L19" s="303" t="s">
        <v>273</v>
      </c>
      <c r="M19" s="303" t="s">
        <v>83</v>
      </c>
      <c r="N19" s="303" t="s">
        <v>101</v>
      </c>
      <c r="O19" s="303" t="s">
        <v>88</v>
      </c>
      <c r="P19" s="303" t="s">
        <v>237</v>
      </c>
      <c r="Q19" s="303" t="s">
        <v>102</v>
      </c>
      <c r="R19" s="303" t="s">
        <v>83</v>
      </c>
      <c r="S19" s="303">
        <v>4</v>
      </c>
      <c r="T19" s="303" t="s">
        <v>105</v>
      </c>
      <c r="U19" s="303" t="s">
        <v>83</v>
      </c>
      <c r="V19" s="295" t="s">
        <v>121</v>
      </c>
      <c r="W19" s="303">
        <v>1</v>
      </c>
      <c r="X19" s="303" t="s">
        <v>120</v>
      </c>
      <c r="Y19" s="300" t="s">
        <v>120</v>
      </c>
      <c r="Z19" s="303" t="s">
        <v>121</v>
      </c>
      <c r="AA19" s="295" t="s">
        <v>121</v>
      </c>
      <c r="AB19" s="295" t="s">
        <v>121</v>
      </c>
      <c r="AC19" s="295" t="s">
        <v>121</v>
      </c>
      <c r="AD19" s="303">
        <v>2</v>
      </c>
      <c r="AE19" s="303" t="s">
        <v>209</v>
      </c>
      <c r="AF19" s="300" t="s">
        <v>136</v>
      </c>
      <c r="AG19" s="303" t="s">
        <v>121</v>
      </c>
      <c r="AH19" s="303" t="s">
        <v>216</v>
      </c>
      <c r="AI19" s="303" t="s">
        <v>219</v>
      </c>
      <c r="AJ19" s="303" t="s">
        <v>213</v>
      </c>
      <c r="AK19" s="303" t="s">
        <v>83</v>
      </c>
      <c r="AL19" s="307" t="s">
        <v>243</v>
      </c>
      <c r="AM19" s="307" t="s">
        <v>62</v>
      </c>
      <c r="AN19" s="317" t="s">
        <v>252</v>
      </c>
      <c r="AO19" s="307" t="s">
        <v>247</v>
      </c>
      <c r="AP19" s="307" t="s">
        <v>62</v>
      </c>
      <c r="AQ19" s="307" t="s">
        <v>208</v>
      </c>
      <c r="AR19" s="307"/>
      <c r="AS19" s="307" t="str">
        <f t="shared" si="0"/>
        <v>Config - 177, CxUHF Link, UL beam: WB-1, C RX-1, Ch EPC - R, DP IP port - 1, Ch Card - M, Router - R, CDU - R, Sy EPC - R, DP OP port - 2, Sy Card - M1, UHF 100 W SSPA-R1</v>
      </c>
    </row>
    <row r="20" spans="1:45" ht="75" x14ac:dyDescent="0.25">
      <c r="A20" s="307">
        <v>178</v>
      </c>
      <c r="B20" s="307">
        <v>3</v>
      </c>
      <c r="C20" s="307">
        <v>6398.5</v>
      </c>
      <c r="D20" s="307">
        <v>253.6</v>
      </c>
      <c r="E20" s="307" t="s">
        <v>91</v>
      </c>
      <c r="F20" s="295" t="s">
        <v>26</v>
      </c>
      <c r="G20" s="307" t="s">
        <v>195</v>
      </c>
      <c r="H20" s="307" t="s">
        <v>278</v>
      </c>
      <c r="I20" s="295" t="s">
        <v>97</v>
      </c>
      <c r="J20" s="307" t="s">
        <v>196</v>
      </c>
      <c r="K20" s="307" t="s">
        <v>277</v>
      </c>
      <c r="L20" s="303" t="s">
        <v>273</v>
      </c>
      <c r="M20" s="303" t="s">
        <v>83</v>
      </c>
      <c r="N20" s="303" t="s">
        <v>101</v>
      </c>
      <c r="O20" s="303" t="s">
        <v>88</v>
      </c>
      <c r="P20" s="303" t="s">
        <v>237</v>
      </c>
      <c r="Q20" s="303" t="s">
        <v>102</v>
      </c>
      <c r="R20" s="303" t="s">
        <v>83</v>
      </c>
      <c r="S20" s="303">
        <v>4</v>
      </c>
      <c r="T20" s="303" t="s">
        <v>105</v>
      </c>
      <c r="U20" s="303" t="s">
        <v>83</v>
      </c>
      <c r="V20" s="295" t="s">
        <v>121</v>
      </c>
      <c r="W20" s="303">
        <v>1</v>
      </c>
      <c r="X20" s="303" t="s">
        <v>120</v>
      </c>
      <c r="Y20" s="300" t="s">
        <v>120</v>
      </c>
      <c r="Z20" s="303" t="s">
        <v>121</v>
      </c>
      <c r="AA20" s="295" t="s">
        <v>121</v>
      </c>
      <c r="AB20" s="295" t="s">
        <v>121</v>
      </c>
      <c r="AC20" s="295" t="s">
        <v>121</v>
      </c>
      <c r="AD20" s="303">
        <v>3</v>
      </c>
      <c r="AE20" s="303" t="s">
        <v>137</v>
      </c>
      <c r="AF20" s="300" t="s">
        <v>136</v>
      </c>
      <c r="AG20" s="303" t="s">
        <v>121</v>
      </c>
      <c r="AH20" s="303" t="s">
        <v>217</v>
      </c>
      <c r="AI20" s="303" t="s">
        <v>220</v>
      </c>
      <c r="AJ20" s="303" t="s">
        <v>214</v>
      </c>
      <c r="AK20" s="303" t="s">
        <v>83</v>
      </c>
      <c r="AL20" s="307" t="s">
        <v>244</v>
      </c>
      <c r="AM20" s="307" t="s">
        <v>250</v>
      </c>
      <c r="AN20" s="317" t="s">
        <v>252</v>
      </c>
      <c r="AO20" s="307" t="s">
        <v>248</v>
      </c>
      <c r="AP20" s="307" t="s">
        <v>250</v>
      </c>
      <c r="AQ20" s="307" t="s">
        <v>208</v>
      </c>
      <c r="AR20" s="307"/>
      <c r="AS20" s="307" t="str">
        <f t="shared" si="0"/>
        <v>Config - 178, CxUHF Link, UL beam: WB-1, C RX-1, Ch EPC - R, DP IP port - 1, Ch Card - M, Router - R, CDU - R, Sy EPC - R, DP OP port - 3, Sy Card - M2, UHF 100 W SSPA-R1</v>
      </c>
    </row>
    <row r="21" spans="1:45" ht="56.25" x14ac:dyDescent="0.25">
      <c r="A21" s="307">
        <v>179</v>
      </c>
      <c r="B21" s="307">
        <v>4</v>
      </c>
      <c r="C21" s="307">
        <v>6403.7</v>
      </c>
      <c r="D21" s="307">
        <v>258.8</v>
      </c>
      <c r="E21" s="307" t="s">
        <v>91</v>
      </c>
      <c r="F21" s="295" t="s">
        <v>26</v>
      </c>
      <c r="G21" s="307" t="s">
        <v>195</v>
      </c>
      <c r="H21" s="307" t="s">
        <v>278</v>
      </c>
      <c r="I21" s="295" t="s">
        <v>97</v>
      </c>
      <c r="J21" s="307" t="s">
        <v>196</v>
      </c>
      <c r="K21" s="307" t="s">
        <v>277</v>
      </c>
      <c r="L21" s="303" t="s">
        <v>273</v>
      </c>
      <c r="M21" s="303" t="s">
        <v>83</v>
      </c>
      <c r="N21" s="303" t="s">
        <v>101</v>
      </c>
      <c r="O21" s="303" t="s">
        <v>88</v>
      </c>
      <c r="P21" s="303" t="s">
        <v>237</v>
      </c>
      <c r="Q21" s="303" t="s">
        <v>102</v>
      </c>
      <c r="R21" s="303" t="s">
        <v>83</v>
      </c>
      <c r="S21" s="303">
        <v>4</v>
      </c>
      <c r="T21" s="303" t="s">
        <v>105</v>
      </c>
      <c r="U21" s="303" t="s">
        <v>83</v>
      </c>
      <c r="V21" s="295" t="s">
        <v>121</v>
      </c>
      <c r="W21" s="303">
        <v>1</v>
      </c>
      <c r="X21" s="303" t="s">
        <v>120</v>
      </c>
      <c r="Y21" s="300" t="s">
        <v>120</v>
      </c>
      <c r="Z21" s="303" t="s">
        <v>121</v>
      </c>
      <c r="AA21" s="295" t="s">
        <v>121</v>
      </c>
      <c r="AB21" s="295" t="s">
        <v>121</v>
      </c>
      <c r="AC21" s="295" t="s">
        <v>121</v>
      </c>
      <c r="AD21" s="303">
        <v>4</v>
      </c>
      <c r="AE21" s="303" t="s">
        <v>137</v>
      </c>
      <c r="AF21" s="300" t="s">
        <v>136</v>
      </c>
      <c r="AG21" s="303" t="s">
        <v>121</v>
      </c>
      <c r="AH21" s="303" t="s">
        <v>218</v>
      </c>
      <c r="AI21" s="303" t="s">
        <v>70</v>
      </c>
      <c r="AJ21" s="303" t="s">
        <v>215</v>
      </c>
      <c r="AK21" s="303" t="s">
        <v>83</v>
      </c>
      <c r="AL21" s="307" t="s">
        <v>245</v>
      </c>
      <c r="AM21" s="307" t="s">
        <v>228</v>
      </c>
      <c r="AN21" s="317" t="s">
        <v>241</v>
      </c>
      <c r="AO21" s="307" t="s">
        <v>249</v>
      </c>
      <c r="AP21" s="307" t="s">
        <v>228</v>
      </c>
      <c r="AQ21" s="307" t="s">
        <v>208</v>
      </c>
      <c r="AR21" s="307"/>
      <c r="AS21" s="307" t="str">
        <f t="shared" si="0"/>
        <v>Config - 179, CxUHF Link, UL beam: WB-1, C RX-1, Ch EPC - R, DP IP port - 1, Ch Card - M, Router - R, CDU - R, Sy EPC - R, DP OP port - 4, Sy Card - M2, UHF 100 W SSPA-3</v>
      </c>
    </row>
    <row r="22" spans="1:45" ht="56.25" x14ac:dyDescent="0.25">
      <c r="A22" s="307">
        <v>180</v>
      </c>
      <c r="B22" s="307">
        <v>1</v>
      </c>
      <c r="C22" s="307">
        <v>6388.0999999999995</v>
      </c>
      <c r="D22" s="307">
        <v>243.2</v>
      </c>
      <c r="E22" s="307" t="s">
        <v>91</v>
      </c>
      <c r="F22" s="300" t="s">
        <v>26</v>
      </c>
      <c r="G22" s="307" t="s">
        <v>195</v>
      </c>
      <c r="H22" s="307" t="s">
        <v>279</v>
      </c>
      <c r="I22" s="300" t="s">
        <v>274</v>
      </c>
      <c r="J22" s="307" t="s">
        <v>196</v>
      </c>
      <c r="K22" s="307" t="s">
        <v>70</v>
      </c>
      <c r="L22" s="303" t="s">
        <v>273</v>
      </c>
      <c r="M22" s="303" t="s">
        <v>83</v>
      </c>
      <c r="N22" s="303" t="s">
        <v>101</v>
      </c>
      <c r="O22" s="303" t="s">
        <v>83</v>
      </c>
      <c r="P22" s="300" t="s">
        <v>236</v>
      </c>
      <c r="Q22" s="303" t="s">
        <v>102</v>
      </c>
      <c r="R22" s="303" t="s">
        <v>88</v>
      </c>
      <c r="S22" s="303">
        <v>1</v>
      </c>
      <c r="T22" s="303" t="s">
        <v>105</v>
      </c>
      <c r="U22" s="303" t="s">
        <v>83</v>
      </c>
      <c r="V22" s="295" t="s">
        <v>120</v>
      </c>
      <c r="W22" s="303">
        <v>1</v>
      </c>
      <c r="X22" s="303" t="s">
        <v>120</v>
      </c>
      <c r="Y22" s="300" t="s">
        <v>120</v>
      </c>
      <c r="Z22" s="303" t="s">
        <v>121</v>
      </c>
      <c r="AA22" s="295" t="s">
        <v>120</v>
      </c>
      <c r="AB22" s="295" t="s">
        <v>120</v>
      </c>
      <c r="AC22" s="295" t="s">
        <v>120</v>
      </c>
      <c r="AD22" s="303">
        <v>1</v>
      </c>
      <c r="AE22" s="427" t="s">
        <v>209</v>
      </c>
      <c r="AF22" s="300" t="s">
        <v>136</v>
      </c>
      <c r="AG22" s="303" t="s">
        <v>121</v>
      </c>
      <c r="AH22" s="303" t="s">
        <v>210</v>
      </c>
      <c r="AI22" s="303" t="s">
        <v>211</v>
      </c>
      <c r="AJ22" s="303" t="s">
        <v>212</v>
      </c>
      <c r="AK22" s="303" t="s">
        <v>83</v>
      </c>
      <c r="AL22" s="307" t="s">
        <v>242</v>
      </c>
      <c r="AM22" s="307" t="s">
        <v>228</v>
      </c>
      <c r="AN22" s="300" t="s">
        <v>238</v>
      </c>
      <c r="AO22" s="307" t="s">
        <v>246</v>
      </c>
      <c r="AP22" s="307" t="s">
        <v>228</v>
      </c>
      <c r="AQ22" s="307" t="s">
        <v>208</v>
      </c>
      <c r="AR22" s="307"/>
      <c r="AS22" s="307" t="str">
        <f t="shared" si="0"/>
        <v>Config - 180, CxUHF Link, UL beam: WB-1, C RX-R1, Ch EPC - M, DP IP port - 1, Ch Card - M, Router - M, CDU - M, Sy EPC - M, DP OP port - 1, Sy Card - M1, UHF 100 W SSPA-1</v>
      </c>
    </row>
    <row r="23" spans="1:45" ht="75" x14ac:dyDescent="0.25">
      <c r="A23" s="307">
        <v>181</v>
      </c>
      <c r="B23" s="307">
        <v>2</v>
      </c>
      <c r="C23" s="307">
        <v>6393.2999999999993</v>
      </c>
      <c r="D23" s="307">
        <v>248.4</v>
      </c>
      <c r="E23" s="307" t="s">
        <v>91</v>
      </c>
      <c r="F23" s="300" t="s">
        <v>26</v>
      </c>
      <c r="G23" s="307" t="s">
        <v>195</v>
      </c>
      <c r="H23" s="307" t="s">
        <v>279</v>
      </c>
      <c r="I23" s="300" t="s">
        <v>274</v>
      </c>
      <c r="J23" s="307" t="s">
        <v>196</v>
      </c>
      <c r="K23" s="307" t="s">
        <v>70</v>
      </c>
      <c r="L23" s="303" t="s">
        <v>273</v>
      </c>
      <c r="M23" s="303" t="s">
        <v>83</v>
      </c>
      <c r="N23" s="303" t="s">
        <v>101</v>
      </c>
      <c r="O23" s="303" t="s">
        <v>83</v>
      </c>
      <c r="P23" s="300" t="s">
        <v>236</v>
      </c>
      <c r="Q23" s="303" t="s">
        <v>102</v>
      </c>
      <c r="R23" s="303" t="s">
        <v>88</v>
      </c>
      <c r="S23" s="303">
        <v>1</v>
      </c>
      <c r="T23" s="303" t="s">
        <v>105</v>
      </c>
      <c r="U23" s="303" t="s">
        <v>83</v>
      </c>
      <c r="V23" s="295" t="s">
        <v>120</v>
      </c>
      <c r="W23" s="303">
        <v>1</v>
      </c>
      <c r="X23" s="303" t="s">
        <v>120</v>
      </c>
      <c r="Y23" s="300" t="s">
        <v>120</v>
      </c>
      <c r="Z23" s="303" t="s">
        <v>121</v>
      </c>
      <c r="AA23" s="295" t="s">
        <v>120</v>
      </c>
      <c r="AB23" s="295" t="s">
        <v>120</v>
      </c>
      <c r="AC23" s="295" t="s">
        <v>120</v>
      </c>
      <c r="AD23" s="303">
        <v>2</v>
      </c>
      <c r="AE23" s="427" t="s">
        <v>209</v>
      </c>
      <c r="AF23" s="300" t="s">
        <v>136</v>
      </c>
      <c r="AG23" s="303" t="s">
        <v>121</v>
      </c>
      <c r="AH23" s="303" t="s">
        <v>216</v>
      </c>
      <c r="AI23" s="303" t="s">
        <v>219</v>
      </c>
      <c r="AJ23" s="303" t="s">
        <v>213</v>
      </c>
      <c r="AK23" s="303" t="s">
        <v>83</v>
      </c>
      <c r="AL23" s="307" t="s">
        <v>243</v>
      </c>
      <c r="AM23" s="307" t="s">
        <v>250</v>
      </c>
      <c r="AN23" s="300" t="s">
        <v>239</v>
      </c>
      <c r="AO23" s="307" t="s">
        <v>247</v>
      </c>
      <c r="AP23" s="307" t="s">
        <v>250</v>
      </c>
      <c r="AQ23" s="307" t="s">
        <v>208</v>
      </c>
      <c r="AR23" s="307"/>
      <c r="AS23" s="307" t="str">
        <f t="shared" si="0"/>
        <v>Config - 181, CxUHF Link, UL beam: WB-1, C RX-R1, Ch EPC - M, DP IP port - 1, Ch Card - M, Router - M, CDU - M, Sy EPC - M, DP OP port - 2, Sy Card - M1, UHF 100 W SSPA-2</v>
      </c>
    </row>
    <row r="24" spans="1:45" ht="75" x14ac:dyDescent="0.25">
      <c r="A24" s="307">
        <v>182</v>
      </c>
      <c r="B24" s="307">
        <v>3</v>
      </c>
      <c r="C24" s="307">
        <v>6398.5</v>
      </c>
      <c r="D24" s="307">
        <v>253.6</v>
      </c>
      <c r="E24" s="307" t="s">
        <v>91</v>
      </c>
      <c r="F24" s="300" t="s">
        <v>26</v>
      </c>
      <c r="G24" s="307" t="s">
        <v>195</v>
      </c>
      <c r="H24" s="307" t="s">
        <v>279</v>
      </c>
      <c r="I24" s="300" t="s">
        <v>274</v>
      </c>
      <c r="J24" s="307" t="s">
        <v>196</v>
      </c>
      <c r="K24" s="307" t="s">
        <v>70</v>
      </c>
      <c r="L24" s="303" t="s">
        <v>273</v>
      </c>
      <c r="M24" s="303" t="s">
        <v>83</v>
      </c>
      <c r="N24" s="303" t="s">
        <v>101</v>
      </c>
      <c r="O24" s="303" t="s">
        <v>83</v>
      </c>
      <c r="P24" s="300" t="s">
        <v>236</v>
      </c>
      <c r="Q24" s="303" t="s">
        <v>102</v>
      </c>
      <c r="R24" s="303" t="s">
        <v>88</v>
      </c>
      <c r="S24" s="303">
        <v>1</v>
      </c>
      <c r="T24" s="303" t="s">
        <v>105</v>
      </c>
      <c r="U24" s="303" t="s">
        <v>83</v>
      </c>
      <c r="V24" s="295" t="s">
        <v>120</v>
      </c>
      <c r="W24" s="303">
        <v>1</v>
      </c>
      <c r="X24" s="303" t="s">
        <v>120</v>
      </c>
      <c r="Y24" s="300" t="s">
        <v>120</v>
      </c>
      <c r="Z24" s="303" t="s">
        <v>121</v>
      </c>
      <c r="AA24" s="295" t="s">
        <v>120</v>
      </c>
      <c r="AB24" s="295" t="s">
        <v>120</v>
      </c>
      <c r="AC24" s="295" t="s">
        <v>120</v>
      </c>
      <c r="AD24" s="303">
        <v>3</v>
      </c>
      <c r="AE24" s="315" t="s">
        <v>137</v>
      </c>
      <c r="AF24" s="300" t="s">
        <v>136</v>
      </c>
      <c r="AG24" s="303" t="s">
        <v>121</v>
      </c>
      <c r="AH24" s="303" t="s">
        <v>217</v>
      </c>
      <c r="AI24" s="303" t="s">
        <v>220</v>
      </c>
      <c r="AJ24" s="303" t="s">
        <v>214</v>
      </c>
      <c r="AK24" s="303" t="s">
        <v>83</v>
      </c>
      <c r="AL24" s="307" t="s">
        <v>244</v>
      </c>
      <c r="AM24" s="307" t="s">
        <v>62</v>
      </c>
      <c r="AN24" s="300" t="s">
        <v>241</v>
      </c>
      <c r="AO24" s="307" t="s">
        <v>248</v>
      </c>
      <c r="AP24" s="307" t="s">
        <v>62</v>
      </c>
      <c r="AQ24" s="307" t="s">
        <v>208</v>
      </c>
      <c r="AR24" s="307"/>
      <c r="AS24" s="307" t="str">
        <f t="shared" si="0"/>
        <v>Config - 182, CxUHF Link, UL beam: WB-1, C RX-R1, Ch EPC - M, DP IP port - 1, Ch Card - M, Router - M, CDU - M, Sy EPC - M, DP OP port - 3, Sy Card - M2, UHF 100 W SSPA-3</v>
      </c>
    </row>
    <row r="25" spans="1:45" ht="56.25" x14ac:dyDescent="0.25">
      <c r="A25" s="307">
        <v>183</v>
      </c>
      <c r="B25" s="307">
        <v>4</v>
      </c>
      <c r="C25" s="307">
        <v>6403.7</v>
      </c>
      <c r="D25" s="307">
        <v>258.8</v>
      </c>
      <c r="E25" s="307" t="s">
        <v>91</v>
      </c>
      <c r="F25" s="300" t="s">
        <v>26</v>
      </c>
      <c r="G25" s="307" t="s">
        <v>195</v>
      </c>
      <c r="H25" s="307" t="s">
        <v>279</v>
      </c>
      <c r="I25" s="300" t="s">
        <v>274</v>
      </c>
      <c r="J25" s="307" t="s">
        <v>196</v>
      </c>
      <c r="K25" s="307" t="s">
        <v>70</v>
      </c>
      <c r="L25" s="303" t="s">
        <v>273</v>
      </c>
      <c r="M25" s="303" t="s">
        <v>83</v>
      </c>
      <c r="N25" s="303" t="s">
        <v>101</v>
      </c>
      <c r="O25" s="303" t="s">
        <v>83</v>
      </c>
      <c r="P25" s="300" t="s">
        <v>236</v>
      </c>
      <c r="Q25" s="303" t="s">
        <v>102</v>
      </c>
      <c r="R25" s="303" t="s">
        <v>88</v>
      </c>
      <c r="S25" s="303">
        <v>1</v>
      </c>
      <c r="T25" s="303" t="s">
        <v>105</v>
      </c>
      <c r="U25" s="303" t="s">
        <v>83</v>
      </c>
      <c r="V25" s="295" t="s">
        <v>120</v>
      </c>
      <c r="W25" s="303">
        <v>1</v>
      </c>
      <c r="X25" s="303" t="s">
        <v>120</v>
      </c>
      <c r="Y25" s="300" t="s">
        <v>120</v>
      </c>
      <c r="Z25" s="303" t="s">
        <v>121</v>
      </c>
      <c r="AA25" s="295" t="s">
        <v>120</v>
      </c>
      <c r="AB25" s="295" t="s">
        <v>120</v>
      </c>
      <c r="AC25" s="295" t="s">
        <v>120</v>
      </c>
      <c r="AD25" s="303">
        <v>4</v>
      </c>
      <c r="AE25" s="315" t="s">
        <v>137</v>
      </c>
      <c r="AF25" s="300" t="s">
        <v>136</v>
      </c>
      <c r="AG25" s="303" t="s">
        <v>121</v>
      </c>
      <c r="AH25" s="303" t="s">
        <v>218</v>
      </c>
      <c r="AI25" s="303" t="s">
        <v>70</v>
      </c>
      <c r="AJ25" s="303" t="s">
        <v>215</v>
      </c>
      <c r="AK25" s="303" t="s">
        <v>83</v>
      </c>
      <c r="AL25" s="307" t="s">
        <v>245</v>
      </c>
      <c r="AM25" s="307" t="s">
        <v>251</v>
      </c>
      <c r="AN25" s="300" t="s">
        <v>240</v>
      </c>
      <c r="AO25" s="307" t="s">
        <v>249</v>
      </c>
      <c r="AP25" s="307" t="s">
        <v>251</v>
      </c>
      <c r="AQ25" s="307" t="s">
        <v>208</v>
      </c>
      <c r="AR25" s="307"/>
      <c r="AS25" s="307" t="str">
        <f t="shared" si="0"/>
        <v>Config - 183, CxUHF Link, UL beam: WB-1, C RX-R1, Ch EPC - M, DP IP port - 1, Ch Card - M, Router - M, CDU - M, Sy EPC - M, DP OP port - 4, Sy Card - M2, UHF 100 W SSPA-4</v>
      </c>
    </row>
    <row r="26" spans="1:45" ht="56.25" x14ac:dyDescent="0.25">
      <c r="A26" s="307">
        <v>184</v>
      </c>
      <c r="B26" s="307">
        <v>1</v>
      </c>
      <c r="C26" s="307">
        <v>6388.0999999999995</v>
      </c>
      <c r="D26" s="307">
        <v>243.2</v>
      </c>
      <c r="E26" s="307" t="s">
        <v>91</v>
      </c>
      <c r="F26" s="317" t="s">
        <v>26</v>
      </c>
      <c r="G26" s="307" t="s">
        <v>195</v>
      </c>
      <c r="H26" s="307" t="s">
        <v>232</v>
      </c>
      <c r="I26" s="317" t="s">
        <v>275</v>
      </c>
      <c r="J26" s="307" t="s">
        <v>196</v>
      </c>
      <c r="K26" s="307" t="s">
        <v>228</v>
      </c>
      <c r="L26" s="303" t="s">
        <v>273</v>
      </c>
      <c r="M26" s="303" t="s">
        <v>88</v>
      </c>
      <c r="N26" s="303" t="s">
        <v>101</v>
      </c>
      <c r="O26" s="303" t="s">
        <v>83</v>
      </c>
      <c r="P26" s="317" t="s">
        <v>236</v>
      </c>
      <c r="Q26" s="303" t="s">
        <v>102</v>
      </c>
      <c r="R26" s="303" t="s">
        <v>88</v>
      </c>
      <c r="S26" s="303">
        <v>1</v>
      </c>
      <c r="T26" s="303" t="s">
        <v>105</v>
      </c>
      <c r="U26" s="303" t="s">
        <v>83</v>
      </c>
      <c r="V26" s="295" t="s">
        <v>120</v>
      </c>
      <c r="W26" s="303">
        <v>1</v>
      </c>
      <c r="X26" s="303" t="s">
        <v>120</v>
      </c>
      <c r="Y26" s="300" t="s">
        <v>120</v>
      </c>
      <c r="Z26" s="303" t="s">
        <v>121</v>
      </c>
      <c r="AA26" s="295" t="s">
        <v>120</v>
      </c>
      <c r="AB26" s="295" t="s">
        <v>120</v>
      </c>
      <c r="AC26" s="295" t="s">
        <v>120</v>
      </c>
      <c r="AD26" s="303">
        <v>1</v>
      </c>
      <c r="AE26" s="427" t="s">
        <v>209</v>
      </c>
      <c r="AF26" s="300" t="s">
        <v>136</v>
      </c>
      <c r="AG26" s="303" t="s">
        <v>121</v>
      </c>
      <c r="AH26" s="303" t="s">
        <v>210</v>
      </c>
      <c r="AI26" s="303" t="s">
        <v>211</v>
      </c>
      <c r="AJ26" s="303" t="s">
        <v>212</v>
      </c>
      <c r="AK26" s="303" t="s">
        <v>83</v>
      </c>
      <c r="AL26" s="307" t="s">
        <v>242</v>
      </c>
      <c r="AM26" s="307" t="s">
        <v>228</v>
      </c>
      <c r="AN26" s="317" t="s">
        <v>238</v>
      </c>
      <c r="AO26" s="307" t="s">
        <v>246</v>
      </c>
      <c r="AP26" s="307" t="s">
        <v>228</v>
      </c>
      <c r="AQ26" s="307" t="s">
        <v>208</v>
      </c>
      <c r="AR26" s="307"/>
      <c r="AS26" s="307" t="str">
        <f t="shared" si="0"/>
        <v>Config - 184, CxUHF Link, UL beam: WB-1, C RX-R2, Ch EPC - M, DP IP port - 1, Ch Card - M, Router - M, CDU - M, Sy EPC - M, DP OP port - 1, Sy Card - M1, UHF 100 W SSPA-1</v>
      </c>
    </row>
    <row r="27" spans="1:45" ht="75" x14ac:dyDescent="0.25">
      <c r="A27" s="307">
        <v>185</v>
      </c>
      <c r="B27" s="307">
        <v>2</v>
      </c>
      <c r="C27" s="307">
        <v>6393.2999999999993</v>
      </c>
      <c r="D27" s="307">
        <v>248.4</v>
      </c>
      <c r="E27" s="307" t="s">
        <v>91</v>
      </c>
      <c r="F27" s="317" t="s">
        <v>26</v>
      </c>
      <c r="G27" s="307" t="s">
        <v>195</v>
      </c>
      <c r="H27" s="307" t="s">
        <v>232</v>
      </c>
      <c r="I27" s="317" t="s">
        <v>275</v>
      </c>
      <c r="J27" s="307" t="s">
        <v>196</v>
      </c>
      <c r="K27" s="307" t="s">
        <v>228</v>
      </c>
      <c r="L27" s="303" t="s">
        <v>273</v>
      </c>
      <c r="M27" s="303" t="s">
        <v>88</v>
      </c>
      <c r="N27" s="303" t="s">
        <v>101</v>
      </c>
      <c r="O27" s="303" t="s">
        <v>83</v>
      </c>
      <c r="P27" s="317" t="s">
        <v>236</v>
      </c>
      <c r="Q27" s="303" t="s">
        <v>102</v>
      </c>
      <c r="R27" s="303" t="s">
        <v>88</v>
      </c>
      <c r="S27" s="303">
        <v>1</v>
      </c>
      <c r="T27" s="303" t="s">
        <v>105</v>
      </c>
      <c r="U27" s="303" t="s">
        <v>83</v>
      </c>
      <c r="V27" s="295" t="s">
        <v>120</v>
      </c>
      <c r="W27" s="303">
        <v>1</v>
      </c>
      <c r="X27" s="303" t="s">
        <v>120</v>
      </c>
      <c r="Y27" s="300" t="s">
        <v>120</v>
      </c>
      <c r="Z27" s="303" t="s">
        <v>121</v>
      </c>
      <c r="AA27" s="295" t="s">
        <v>120</v>
      </c>
      <c r="AB27" s="295" t="s">
        <v>120</v>
      </c>
      <c r="AC27" s="295" t="s">
        <v>120</v>
      </c>
      <c r="AD27" s="303">
        <v>2</v>
      </c>
      <c r="AE27" s="427" t="s">
        <v>209</v>
      </c>
      <c r="AF27" s="300" t="s">
        <v>136</v>
      </c>
      <c r="AG27" s="303" t="s">
        <v>121</v>
      </c>
      <c r="AH27" s="303" t="s">
        <v>216</v>
      </c>
      <c r="AI27" s="303" t="s">
        <v>219</v>
      </c>
      <c r="AJ27" s="303" t="s">
        <v>213</v>
      </c>
      <c r="AK27" s="303" t="s">
        <v>83</v>
      </c>
      <c r="AL27" s="307" t="s">
        <v>243</v>
      </c>
      <c r="AM27" s="307" t="s">
        <v>250</v>
      </c>
      <c r="AN27" s="317" t="s">
        <v>239</v>
      </c>
      <c r="AO27" s="307" t="s">
        <v>247</v>
      </c>
      <c r="AP27" s="307" t="s">
        <v>250</v>
      </c>
      <c r="AQ27" s="307" t="s">
        <v>208</v>
      </c>
      <c r="AR27" s="307"/>
      <c r="AS27" s="307" t="str">
        <f t="shared" si="0"/>
        <v>Config - 185, CxUHF Link, UL beam: WB-1, C RX-R2, Ch EPC - M, DP IP port - 1, Ch Card - M, Router - M, CDU - M, Sy EPC - M, DP OP port - 2, Sy Card - M1, UHF 100 W SSPA-2</v>
      </c>
    </row>
    <row r="28" spans="1:45" ht="75" x14ac:dyDescent="0.25">
      <c r="A28" s="307">
        <v>186</v>
      </c>
      <c r="B28" s="307">
        <v>3</v>
      </c>
      <c r="C28" s="307">
        <v>6398.5</v>
      </c>
      <c r="D28" s="307">
        <v>253.6</v>
      </c>
      <c r="E28" s="307" t="s">
        <v>91</v>
      </c>
      <c r="F28" s="317" t="s">
        <v>26</v>
      </c>
      <c r="G28" s="307" t="s">
        <v>195</v>
      </c>
      <c r="H28" s="307" t="s">
        <v>232</v>
      </c>
      <c r="I28" s="317" t="s">
        <v>275</v>
      </c>
      <c r="J28" s="307" t="s">
        <v>196</v>
      </c>
      <c r="K28" s="307" t="s">
        <v>228</v>
      </c>
      <c r="L28" s="303" t="s">
        <v>273</v>
      </c>
      <c r="M28" s="303" t="s">
        <v>88</v>
      </c>
      <c r="N28" s="303" t="s">
        <v>101</v>
      </c>
      <c r="O28" s="303" t="s">
        <v>83</v>
      </c>
      <c r="P28" s="317" t="s">
        <v>236</v>
      </c>
      <c r="Q28" s="303" t="s">
        <v>102</v>
      </c>
      <c r="R28" s="303" t="s">
        <v>88</v>
      </c>
      <c r="S28" s="303">
        <v>1</v>
      </c>
      <c r="T28" s="303" t="s">
        <v>105</v>
      </c>
      <c r="U28" s="303" t="s">
        <v>83</v>
      </c>
      <c r="V28" s="295" t="s">
        <v>120</v>
      </c>
      <c r="W28" s="303">
        <v>1</v>
      </c>
      <c r="X28" s="303" t="s">
        <v>120</v>
      </c>
      <c r="Y28" s="300" t="s">
        <v>120</v>
      </c>
      <c r="Z28" s="303" t="s">
        <v>121</v>
      </c>
      <c r="AA28" s="295" t="s">
        <v>120</v>
      </c>
      <c r="AB28" s="295" t="s">
        <v>120</v>
      </c>
      <c r="AC28" s="295" t="s">
        <v>120</v>
      </c>
      <c r="AD28" s="303">
        <v>3</v>
      </c>
      <c r="AE28" s="315" t="s">
        <v>137</v>
      </c>
      <c r="AF28" s="300" t="s">
        <v>136</v>
      </c>
      <c r="AG28" s="303" t="s">
        <v>121</v>
      </c>
      <c r="AH28" s="303" t="s">
        <v>217</v>
      </c>
      <c r="AI28" s="303" t="s">
        <v>220</v>
      </c>
      <c r="AJ28" s="303" t="s">
        <v>214</v>
      </c>
      <c r="AK28" s="303" t="s">
        <v>83</v>
      </c>
      <c r="AL28" s="307" t="s">
        <v>244</v>
      </c>
      <c r="AM28" s="307" t="s">
        <v>62</v>
      </c>
      <c r="AN28" s="317" t="s">
        <v>241</v>
      </c>
      <c r="AO28" s="307" t="s">
        <v>248</v>
      </c>
      <c r="AP28" s="307" t="s">
        <v>62</v>
      </c>
      <c r="AQ28" s="307" t="s">
        <v>208</v>
      </c>
      <c r="AR28" s="307"/>
      <c r="AS28" s="307" t="str">
        <f t="shared" si="0"/>
        <v>Config - 186, CxUHF Link, UL beam: WB-1, C RX-R2, Ch EPC - M, DP IP port - 1, Ch Card - M, Router - M, CDU - M, Sy EPC - M, DP OP port - 3, Sy Card - M2, UHF 100 W SSPA-3</v>
      </c>
    </row>
    <row r="29" spans="1:45" ht="56.25" x14ac:dyDescent="0.25">
      <c r="A29" s="307">
        <v>187</v>
      </c>
      <c r="B29" s="307">
        <v>4</v>
      </c>
      <c r="C29" s="307">
        <v>6403.7</v>
      </c>
      <c r="D29" s="307">
        <v>258.8</v>
      </c>
      <c r="E29" s="307" t="s">
        <v>91</v>
      </c>
      <c r="F29" s="317" t="s">
        <v>26</v>
      </c>
      <c r="G29" s="307" t="s">
        <v>195</v>
      </c>
      <c r="H29" s="307" t="s">
        <v>232</v>
      </c>
      <c r="I29" s="317" t="s">
        <v>275</v>
      </c>
      <c r="J29" s="307" t="s">
        <v>196</v>
      </c>
      <c r="K29" s="307" t="s">
        <v>228</v>
      </c>
      <c r="L29" s="303" t="s">
        <v>273</v>
      </c>
      <c r="M29" s="303" t="s">
        <v>88</v>
      </c>
      <c r="N29" s="303" t="s">
        <v>101</v>
      </c>
      <c r="O29" s="303" t="s">
        <v>83</v>
      </c>
      <c r="P29" s="317" t="s">
        <v>236</v>
      </c>
      <c r="Q29" s="303" t="s">
        <v>102</v>
      </c>
      <c r="R29" s="303" t="s">
        <v>88</v>
      </c>
      <c r="S29" s="303">
        <v>1</v>
      </c>
      <c r="T29" s="303" t="s">
        <v>105</v>
      </c>
      <c r="U29" s="303" t="s">
        <v>83</v>
      </c>
      <c r="V29" s="295" t="s">
        <v>120</v>
      </c>
      <c r="W29" s="303">
        <v>1</v>
      </c>
      <c r="X29" s="303" t="s">
        <v>120</v>
      </c>
      <c r="Y29" s="300" t="s">
        <v>120</v>
      </c>
      <c r="Z29" s="303" t="s">
        <v>121</v>
      </c>
      <c r="AA29" s="295" t="s">
        <v>120</v>
      </c>
      <c r="AB29" s="295" t="s">
        <v>120</v>
      </c>
      <c r="AC29" s="295" t="s">
        <v>120</v>
      </c>
      <c r="AD29" s="303">
        <v>4</v>
      </c>
      <c r="AE29" s="315" t="s">
        <v>137</v>
      </c>
      <c r="AF29" s="300" t="s">
        <v>136</v>
      </c>
      <c r="AG29" s="303" t="s">
        <v>121</v>
      </c>
      <c r="AH29" s="303" t="s">
        <v>218</v>
      </c>
      <c r="AI29" s="303" t="s">
        <v>70</v>
      </c>
      <c r="AJ29" s="303" t="s">
        <v>215</v>
      </c>
      <c r="AK29" s="303" t="s">
        <v>83</v>
      </c>
      <c r="AL29" s="307" t="s">
        <v>245</v>
      </c>
      <c r="AM29" s="307" t="s">
        <v>251</v>
      </c>
      <c r="AN29" s="317" t="s">
        <v>240</v>
      </c>
      <c r="AO29" s="307" t="s">
        <v>249</v>
      </c>
      <c r="AP29" s="307" t="s">
        <v>251</v>
      </c>
      <c r="AQ29" s="307" t="s">
        <v>208</v>
      </c>
      <c r="AR29" s="307"/>
      <c r="AS29" s="307" t="str">
        <f t="shared" si="0"/>
        <v>Config - 187, CxUHF Link, UL beam: WB-1, C RX-R2, Ch EPC - M, DP IP port - 1, Ch Card - M, Router - M, CDU - M, Sy EPC - M, DP OP port - 4, Sy Card - M2, UHF 100 W SSPA-4</v>
      </c>
    </row>
    <row r="30" spans="1:45" ht="56.25" x14ac:dyDescent="0.25">
      <c r="A30" s="307">
        <v>188</v>
      </c>
      <c r="B30" s="307">
        <v>5</v>
      </c>
      <c r="C30" s="307">
        <v>6388.0999999999995</v>
      </c>
      <c r="D30" s="307">
        <v>243.2</v>
      </c>
      <c r="E30" s="307" t="s">
        <v>91</v>
      </c>
      <c r="F30" s="300" t="s">
        <v>27</v>
      </c>
      <c r="G30" s="307" t="s">
        <v>195</v>
      </c>
      <c r="H30" s="307" t="s">
        <v>68</v>
      </c>
      <c r="I30" s="300" t="s">
        <v>275</v>
      </c>
      <c r="J30" s="307" t="s">
        <v>196</v>
      </c>
      <c r="K30" s="307" t="s">
        <v>66</v>
      </c>
      <c r="L30" s="303" t="s">
        <v>273</v>
      </c>
      <c r="M30" s="303" t="s">
        <v>88</v>
      </c>
      <c r="N30" s="303" t="s">
        <v>101</v>
      </c>
      <c r="O30" s="303" t="s">
        <v>83</v>
      </c>
      <c r="P30" s="300" t="s">
        <v>236</v>
      </c>
      <c r="Q30" s="303" t="s">
        <v>102</v>
      </c>
      <c r="R30" s="303" t="s">
        <v>88</v>
      </c>
      <c r="S30" s="303">
        <v>1</v>
      </c>
      <c r="T30" s="303" t="s">
        <v>105</v>
      </c>
      <c r="U30" s="303" t="s">
        <v>83</v>
      </c>
      <c r="V30" s="295" t="s">
        <v>120</v>
      </c>
      <c r="W30" s="303">
        <v>1</v>
      </c>
      <c r="X30" s="303" t="s">
        <v>120</v>
      </c>
      <c r="Y30" s="300" t="s">
        <v>120</v>
      </c>
      <c r="Z30" s="303" t="s">
        <v>121</v>
      </c>
      <c r="AA30" s="295" t="s">
        <v>120</v>
      </c>
      <c r="AB30" s="295" t="s">
        <v>120</v>
      </c>
      <c r="AC30" s="295" t="s">
        <v>120</v>
      </c>
      <c r="AD30" s="303">
        <v>1</v>
      </c>
      <c r="AE30" s="427" t="s">
        <v>209</v>
      </c>
      <c r="AF30" s="300" t="s">
        <v>136</v>
      </c>
      <c r="AG30" s="303" t="s">
        <v>121</v>
      </c>
      <c r="AH30" s="303" t="s">
        <v>210</v>
      </c>
      <c r="AI30" s="303" t="s">
        <v>211</v>
      </c>
      <c r="AJ30" s="303" t="s">
        <v>212</v>
      </c>
      <c r="AK30" s="303" t="s">
        <v>83</v>
      </c>
      <c r="AL30" s="307" t="s">
        <v>242</v>
      </c>
      <c r="AM30" s="307" t="s">
        <v>228</v>
      </c>
      <c r="AN30" s="300" t="s">
        <v>238</v>
      </c>
      <c r="AO30" s="307" t="s">
        <v>246</v>
      </c>
      <c r="AP30" s="307" t="s">
        <v>228</v>
      </c>
      <c r="AQ30" s="307" t="s">
        <v>208</v>
      </c>
      <c r="AR30" s="307"/>
      <c r="AS30" s="307" t="str">
        <f t="shared" si="0"/>
        <v>Config - 188, CxUHF Link, UL beam: WB-2, C RX-R2, Ch EPC - M, DP IP port - 1, Ch Card - M, Router - M, CDU - M, Sy EPC - M, DP OP port - 1, Sy Card - M1, UHF 100 W SSPA-1</v>
      </c>
    </row>
    <row r="31" spans="1:45" ht="75" x14ac:dyDescent="0.25">
      <c r="A31" s="307">
        <v>189</v>
      </c>
      <c r="B31" s="307">
        <v>6</v>
      </c>
      <c r="C31" s="307">
        <v>6393.2999999999993</v>
      </c>
      <c r="D31" s="307">
        <v>248.4</v>
      </c>
      <c r="E31" s="307" t="s">
        <v>91</v>
      </c>
      <c r="F31" s="300" t="s">
        <v>27</v>
      </c>
      <c r="G31" s="307" t="s">
        <v>195</v>
      </c>
      <c r="H31" s="307" t="s">
        <v>68</v>
      </c>
      <c r="I31" s="300" t="s">
        <v>275</v>
      </c>
      <c r="J31" s="307" t="s">
        <v>196</v>
      </c>
      <c r="K31" s="307" t="s">
        <v>66</v>
      </c>
      <c r="L31" s="303" t="s">
        <v>273</v>
      </c>
      <c r="M31" s="303" t="s">
        <v>88</v>
      </c>
      <c r="N31" s="303" t="s">
        <v>101</v>
      </c>
      <c r="O31" s="303" t="s">
        <v>83</v>
      </c>
      <c r="P31" s="300" t="s">
        <v>236</v>
      </c>
      <c r="Q31" s="303" t="s">
        <v>102</v>
      </c>
      <c r="R31" s="303" t="s">
        <v>88</v>
      </c>
      <c r="S31" s="303">
        <v>1</v>
      </c>
      <c r="T31" s="303" t="s">
        <v>105</v>
      </c>
      <c r="U31" s="303" t="s">
        <v>83</v>
      </c>
      <c r="V31" s="295" t="s">
        <v>120</v>
      </c>
      <c r="W31" s="303">
        <v>1</v>
      </c>
      <c r="X31" s="303" t="s">
        <v>120</v>
      </c>
      <c r="Y31" s="300" t="s">
        <v>120</v>
      </c>
      <c r="Z31" s="303" t="s">
        <v>121</v>
      </c>
      <c r="AA31" s="295" t="s">
        <v>120</v>
      </c>
      <c r="AB31" s="295" t="s">
        <v>120</v>
      </c>
      <c r="AC31" s="295" t="s">
        <v>120</v>
      </c>
      <c r="AD31" s="303">
        <v>2</v>
      </c>
      <c r="AE31" s="427" t="s">
        <v>209</v>
      </c>
      <c r="AF31" s="300" t="s">
        <v>136</v>
      </c>
      <c r="AG31" s="303" t="s">
        <v>121</v>
      </c>
      <c r="AH31" s="303" t="s">
        <v>216</v>
      </c>
      <c r="AI31" s="303" t="s">
        <v>219</v>
      </c>
      <c r="AJ31" s="303" t="s">
        <v>213</v>
      </c>
      <c r="AK31" s="303" t="s">
        <v>83</v>
      </c>
      <c r="AL31" s="307" t="s">
        <v>243</v>
      </c>
      <c r="AM31" s="307" t="s">
        <v>250</v>
      </c>
      <c r="AN31" s="300" t="s">
        <v>239</v>
      </c>
      <c r="AO31" s="307" t="s">
        <v>247</v>
      </c>
      <c r="AP31" s="307" t="s">
        <v>250</v>
      </c>
      <c r="AQ31" s="307" t="s">
        <v>208</v>
      </c>
      <c r="AR31" s="307"/>
      <c r="AS31" s="307" t="str">
        <f t="shared" si="0"/>
        <v>Config - 189, CxUHF Link, UL beam: WB-2, C RX-R2, Ch EPC - M, DP IP port - 1, Ch Card - M, Router - M, CDU - M, Sy EPC - M, DP OP port - 2, Sy Card - M1, UHF 100 W SSPA-2</v>
      </c>
    </row>
    <row r="32" spans="1:45" ht="75" x14ac:dyDescent="0.25">
      <c r="A32" s="307">
        <v>190</v>
      </c>
      <c r="B32" s="307">
        <v>7</v>
      </c>
      <c r="C32" s="307">
        <v>6398.5</v>
      </c>
      <c r="D32" s="307">
        <v>253.6</v>
      </c>
      <c r="E32" s="307" t="s">
        <v>91</v>
      </c>
      <c r="F32" s="300" t="s">
        <v>27</v>
      </c>
      <c r="G32" s="307" t="s">
        <v>195</v>
      </c>
      <c r="H32" s="307" t="s">
        <v>68</v>
      </c>
      <c r="I32" s="300" t="s">
        <v>275</v>
      </c>
      <c r="J32" s="307" t="s">
        <v>196</v>
      </c>
      <c r="K32" s="307" t="s">
        <v>66</v>
      </c>
      <c r="L32" s="303" t="s">
        <v>273</v>
      </c>
      <c r="M32" s="303" t="s">
        <v>88</v>
      </c>
      <c r="N32" s="303" t="s">
        <v>101</v>
      </c>
      <c r="O32" s="303" t="s">
        <v>83</v>
      </c>
      <c r="P32" s="300" t="s">
        <v>236</v>
      </c>
      <c r="Q32" s="303" t="s">
        <v>102</v>
      </c>
      <c r="R32" s="303" t="s">
        <v>88</v>
      </c>
      <c r="S32" s="303">
        <v>1</v>
      </c>
      <c r="T32" s="303" t="s">
        <v>105</v>
      </c>
      <c r="U32" s="303" t="s">
        <v>83</v>
      </c>
      <c r="V32" s="295" t="s">
        <v>120</v>
      </c>
      <c r="W32" s="303">
        <v>1</v>
      </c>
      <c r="X32" s="303" t="s">
        <v>120</v>
      </c>
      <c r="Y32" s="300" t="s">
        <v>120</v>
      </c>
      <c r="Z32" s="303" t="s">
        <v>121</v>
      </c>
      <c r="AA32" s="295" t="s">
        <v>120</v>
      </c>
      <c r="AB32" s="295" t="s">
        <v>120</v>
      </c>
      <c r="AC32" s="295" t="s">
        <v>120</v>
      </c>
      <c r="AD32" s="303">
        <v>3</v>
      </c>
      <c r="AE32" s="315" t="s">
        <v>137</v>
      </c>
      <c r="AF32" s="300" t="s">
        <v>136</v>
      </c>
      <c r="AG32" s="303" t="s">
        <v>121</v>
      </c>
      <c r="AH32" s="303" t="s">
        <v>217</v>
      </c>
      <c r="AI32" s="303" t="s">
        <v>220</v>
      </c>
      <c r="AJ32" s="303" t="s">
        <v>214</v>
      </c>
      <c r="AK32" s="303" t="s">
        <v>83</v>
      </c>
      <c r="AL32" s="307" t="s">
        <v>244</v>
      </c>
      <c r="AM32" s="307" t="s">
        <v>62</v>
      </c>
      <c r="AN32" s="300" t="s">
        <v>241</v>
      </c>
      <c r="AO32" s="307" t="s">
        <v>248</v>
      </c>
      <c r="AP32" s="307" t="s">
        <v>62</v>
      </c>
      <c r="AQ32" s="307" t="s">
        <v>208</v>
      </c>
      <c r="AR32" s="307"/>
      <c r="AS32" s="307" t="str">
        <f t="shared" si="0"/>
        <v>Config - 190, CxUHF Link, UL beam: WB-2, C RX-R2, Ch EPC - M, DP IP port - 1, Ch Card - M, Router - M, CDU - M, Sy EPC - M, DP OP port - 3, Sy Card - M2, UHF 100 W SSPA-3</v>
      </c>
    </row>
    <row r="33" spans="1:45" ht="56.25" x14ac:dyDescent="0.25">
      <c r="A33" s="307">
        <v>191</v>
      </c>
      <c r="B33" s="307">
        <v>8</v>
      </c>
      <c r="C33" s="307">
        <v>6403.7</v>
      </c>
      <c r="D33" s="307">
        <v>258.8</v>
      </c>
      <c r="E33" s="307" t="s">
        <v>91</v>
      </c>
      <c r="F33" s="300" t="s">
        <v>27</v>
      </c>
      <c r="G33" s="307" t="s">
        <v>195</v>
      </c>
      <c r="H33" s="307" t="s">
        <v>68</v>
      </c>
      <c r="I33" s="300" t="s">
        <v>275</v>
      </c>
      <c r="J33" s="307" t="s">
        <v>196</v>
      </c>
      <c r="K33" s="307" t="s">
        <v>66</v>
      </c>
      <c r="L33" s="303" t="s">
        <v>273</v>
      </c>
      <c r="M33" s="303" t="s">
        <v>88</v>
      </c>
      <c r="N33" s="303" t="s">
        <v>101</v>
      </c>
      <c r="O33" s="303" t="s">
        <v>83</v>
      </c>
      <c r="P33" s="300" t="s">
        <v>236</v>
      </c>
      <c r="Q33" s="303" t="s">
        <v>102</v>
      </c>
      <c r="R33" s="303" t="s">
        <v>88</v>
      </c>
      <c r="S33" s="303">
        <v>1</v>
      </c>
      <c r="T33" s="303" t="s">
        <v>105</v>
      </c>
      <c r="U33" s="303" t="s">
        <v>83</v>
      </c>
      <c r="V33" s="295" t="s">
        <v>120</v>
      </c>
      <c r="W33" s="303">
        <v>1</v>
      </c>
      <c r="X33" s="303" t="s">
        <v>120</v>
      </c>
      <c r="Y33" s="300" t="s">
        <v>120</v>
      </c>
      <c r="Z33" s="303" t="s">
        <v>121</v>
      </c>
      <c r="AA33" s="295" t="s">
        <v>120</v>
      </c>
      <c r="AB33" s="295" t="s">
        <v>120</v>
      </c>
      <c r="AC33" s="295" t="s">
        <v>120</v>
      </c>
      <c r="AD33" s="303">
        <v>4</v>
      </c>
      <c r="AE33" s="315" t="s">
        <v>137</v>
      </c>
      <c r="AF33" s="300" t="s">
        <v>136</v>
      </c>
      <c r="AG33" s="303" t="s">
        <v>121</v>
      </c>
      <c r="AH33" s="303" t="s">
        <v>218</v>
      </c>
      <c r="AI33" s="303" t="s">
        <v>70</v>
      </c>
      <c r="AJ33" s="303" t="s">
        <v>215</v>
      </c>
      <c r="AK33" s="303" t="s">
        <v>83</v>
      </c>
      <c r="AL33" s="307" t="s">
        <v>245</v>
      </c>
      <c r="AM33" s="307" t="s">
        <v>251</v>
      </c>
      <c r="AN33" s="300" t="s">
        <v>240</v>
      </c>
      <c r="AO33" s="307" t="s">
        <v>249</v>
      </c>
      <c r="AP33" s="307" t="s">
        <v>251</v>
      </c>
      <c r="AQ33" s="307" t="s">
        <v>208</v>
      </c>
      <c r="AR33" s="307"/>
      <c r="AS33" s="307" t="str">
        <f t="shared" si="0"/>
        <v>Config - 191, CxUHF Link, UL beam: WB-2, C RX-R2, Ch EPC - M, DP IP port - 1, Ch Card - M, Router - M, CDU - M, Sy EPC - M, DP OP port - 4, Sy Card - M2, UHF 100 W SSPA-4</v>
      </c>
    </row>
    <row r="34" spans="1:45" ht="56.25" x14ac:dyDescent="0.25">
      <c r="A34" s="307">
        <v>192</v>
      </c>
      <c r="B34" s="307">
        <v>5</v>
      </c>
      <c r="C34" s="307">
        <v>6388.0999999999995</v>
      </c>
      <c r="D34" s="307">
        <v>243.2</v>
      </c>
      <c r="E34" s="307" t="s">
        <v>91</v>
      </c>
      <c r="F34" s="317" t="s">
        <v>27</v>
      </c>
      <c r="G34" s="307" t="s">
        <v>195</v>
      </c>
      <c r="H34" s="307" t="s">
        <v>228</v>
      </c>
      <c r="I34" s="317" t="s">
        <v>274</v>
      </c>
      <c r="J34" s="307" t="s">
        <v>196</v>
      </c>
      <c r="K34" s="307" t="s">
        <v>232</v>
      </c>
      <c r="L34" s="303" t="s">
        <v>273</v>
      </c>
      <c r="M34" s="303" t="s">
        <v>83</v>
      </c>
      <c r="N34" s="303" t="s">
        <v>101</v>
      </c>
      <c r="O34" s="303" t="s">
        <v>83</v>
      </c>
      <c r="P34" s="317" t="s">
        <v>236</v>
      </c>
      <c r="Q34" s="303" t="s">
        <v>102</v>
      </c>
      <c r="R34" s="303" t="s">
        <v>88</v>
      </c>
      <c r="S34" s="303">
        <v>1</v>
      </c>
      <c r="T34" s="303" t="s">
        <v>105</v>
      </c>
      <c r="U34" s="303" t="s">
        <v>83</v>
      </c>
      <c r="V34" s="295" t="s">
        <v>120</v>
      </c>
      <c r="W34" s="303">
        <v>1</v>
      </c>
      <c r="X34" s="303" t="s">
        <v>120</v>
      </c>
      <c r="Y34" s="300" t="s">
        <v>120</v>
      </c>
      <c r="Z34" s="303" t="s">
        <v>121</v>
      </c>
      <c r="AA34" s="295" t="s">
        <v>120</v>
      </c>
      <c r="AB34" s="295" t="s">
        <v>120</v>
      </c>
      <c r="AC34" s="295" t="s">
        <v>120</v>
      </c>
      <c r="AD34" s="303">
        <v>1</v>
      </c>
      <c r="AE34" s="427" t="s">
        <v>209</v>
      </c>
      <c r="AF34" s="300" t="s">
        <v>136</v>
      </c>
      <c r="AG34" s="303" t="s">
        <v>121</v>
      </c>
      <c r="AH34" s="303" t="s">
        <v>210</v>
      </c>
      <c r="AI34" s="303" t="s">
        <v>211</v>
      </c>
      <c r="AJ34" s="303" t="s">
        <v>212</v>
      </c>
      <c r="AK34" s="303" t="s">
        <v>83</v>
      </c>
      <c r="AL34" s="307" t="s">
        <v>242</v>
      </c>
      <c r="AM34" s="307" t="s">
        <v>228</v>
      </c>
      <c r="AN34" s="317" t="s">
        <v>238</v>
      </c>
      <c r="AO34" s="307" t="s">
        <v>246</v>
      </c>
      <c r="AP34" s="307" t="s">
        <v>228</v>
      </c>
      <c r="AQ34" s="307" t="s">
        <v>208</v>
      </c>
      <c r="AR34" s="307"/>
      <c r="AS34" s="307" t="str">
        <f t="shared" si="0"/>
        <v>Config - 192, CxUHF Link, UL beam: WB-2, C RX-R1, Ch EPC - M, DP IP port - 1, Ch Card - M, Router - M, CDU - M, Sy EPC - M, DP OP port - 1, Sy Card - M1, UHF 100 W SSPA-1</v>
      </c>
    </row>
    <row r="35" spans="1:45" ht="75" x14ac:dyDescent="0.25">
      <c r="A35" s="307">
        <v>193</v>
      </c>
      <c r="B35" s="307">
        <v>6</v>
      </c>
      <c r="C35" s="307">
        <v>6393.2999999999993</v>
      </c>
      <c r="D35" s="307">
        <v>248.4</v>
      </c>
      <c r="E35" s="307" t="s">
        <v>91</v>
      </c>
      <c r="F35" s="317" t="s">
        <v>27</v>
      </c>
      <c r="G35" s="307" t="s">
        <v>195</v>
      </c>
      <c r="H35" s="307" t="s">
        <v>228</v>
      </c>
      <c r="I35" s="317" t="s">
        <v>274</v>
      </c>
      <c r="J35" s="307" t="s">
        <v>196</v>
      </c>
      <c r="K35" s="307" t="s">
        <v>232</v>
      </c>
      <c r="L35" s="303" t="s">
        <v>273</v>
      </c>
      <c r="M35" s="303" t="s">
        <v>83</v>
      </c>
      <c r="N35" s="303" t="s">
        <v>101</v>
      </c>
      <c r="O35" s="303" t="s">
        <v>83</v>
      </c>
      <c r="P35" s="317" t="s">
        <v>236</v>
      </c>
      <c r="Q35" s="303" t="s">
        <v>102</v>
      </c>
      <c r="R35" s="303" t="s">
        <v>88</v>
      </c>
      <c r="S35" s="303">
        <v>1</v>
      </c>
      <c r="T35" s="303" t="s">
        <v>105</v>
      </c>
      <c r="U35" s="303" t="s">
        <v>83</v>
      </c>
      <c r="V35" s="295" t="s">
        <v>120</v>
      </c>
      <c r="W35" s="303">
        <v>1</v>
      </c>
      <c r="X35" s="303" t="s">
        <v>120</v>
      </c>
      <c r="Y35" s="300" t="s">
        <v>120</v>
      </c>
      <c r="Z35" s="303" t="s">
        <v>121</v>
      </c>
      <c r="AA35" s="295" t="s">
        <v>120</v>
      </c>
      <c r="AB35" s="295" t="s">
        <v>120</v>
      </c>
      <c r="AC35" s="295" t="s">
        <v>120</v>
      </c>
      <c r="AD35" s="303">
        <v>2</v>
      </c>
      <c r="AE35" s="427" t="s">
        <v>209</v>
      </c>
      <c r="AF35" s="300" t="s">
        <v>136</v>
      </c>
      <c r="AG35" s="303" t="s">
        <v>121</v>
      </c>
      <c r="AH35" s="303" t="s">
        <v>216</v>
      </c>
      <c r="AI35" s="303" t="s">
        <v>219</v>
      </c>
      <c r="AJ35" s="303" t="s">
        <v>213</v>
      </c>
      <c r="AK35" s="303" t="s">
        <v>83</v>
      </c>
      <c r="AL35" s="307" t="s">
        <v>243</v>
      </c>
      <c r="AM35" s="307" t="s">
        <v>250</v>
      </c>
      <c r="AN35" s="317" t="s">
        <v>239</v>
      </c>
      <c r="AO35" s="307" t="s">
        <v>247</v>
      </c>
      <c r="AP35" s="307" t="s">
        <v>250</v>
      </c>
      <c r="AQ35" s="307" t="s">
        <v>208</v>
      </c>
      <c r="AR35" s="307"/>
      <c r="AS35" s="307" t="str">
        <f t="shared" si="0"/>
        <v>Config - 193, CxUHF Link, UL beam: WB-2, C RX-R1, Ch EPC - M, DP IP port - 1, Ch Card - M, Router - M, CDU - M, Sy EPC - M, DP OP port - 2, Sy Card - M1, UHF 100 W SSPA-2</v>
      </c>
    </row>
    <row r="36" spans="1:45" ht="75" x14ac:dyDescent="0.25">
      <c r="A36" s="307">
        <v>194</v>
      </c>
      <c r="B36" s="307">
        <v>7</v>
      </c>
      <c r="C36" s="307">
        <v>6398.5</v>
      </c>
      <c r="D36" s="307">
        <v>253.6</v>
      </c>
      <c r="E36" s="307" t="s">
        <v>91</v>
      </c>
      <c r="F36" s="317" t="s">
        <v>27</v>
      </c>
      <c r="G36" s="307" t="s">
        <v>195</v>
      </c>
      <c r="H36" s="307" t="s">
        <v>228</v>
      </c>
      <c r="I36" s="317" t="s">
        <v>274</v>
      </c>
      <c r="J36" s="307" t="s">
        <v>196</v>
      </c>
      <c r="K36" s="307" t="s">
        <v>232</v>
      </c>
      <c r="L36" s="303" t="s">
        <v>273</v>
      </c>
      <c r="M36" s="303" t="s">
        <v>83</v>
      </c>
      <c r="N36" s="303" t="s">
        <v>101</v>
      </c>
      <c r="O36" s="303" t="s">
        <v>83</v>
      </c>
      <c r="P36" s="317" t="s">
        <v>236</v>
      </c>
      <c r="Q36" s="303" t="s">
        <v>102</v>
      </c>
      <c r="R36" s="303" t="s">
        <v>88</v>
      </c>
      <c r="S36" s="303">
        <v>1</v>
      </c>
      <c r="T36" s="303" t="s">
        <v>105</v>
      </c>
      <c r="U36" s="303" t="s">
        <v>83</v>
      </c>
      <c r="V36" s="295" t="s">
        <v>120</v>
      </c>
      <c r="W36" s="303">
        <v>1</v>
      </c>
      <c r="X36" s="303" t="s">
        <v>120</v>
      </c>
      <c r="Y36" s="300" t="s">
        <v>120</v>
      </c>
      <c r="Z36" s="303" t="s">
        <v>121</v>
      </c>
      <c r="AA36" s="295" t="s">
        <v>120</v>
      </c>
      <c r="AB36" s="295" t="s">
        <v>120</v>
      </c>
      <c r="AC36" s="295" t="s">
        <v>120</v>
      </c>
      <c r="AD36" s="303">
        <v>3</v>
      </c>
      <c r="AE36" s="315" t="s">
        <v>137</v>
      </c>
      <c r="AF36" s="300" t="s">
        <v>136</v>
      </c>
      <c r="AG36" s="303" t="s">
        <v>121</v>
      </c>
      <c r="AH36" s="303" t="s">
        <v>217</v>
      </c>
      <c r="AI36" s="303" t="s">
        <v>220</v>
      </c>
      <c r="AJ36" s="303" t="s">
        <v>214</v>
      </c>
      <c r="AK36" s="303" t="s">
        <v>83</v>
      </c>
      <c r="AL36" s="307" t="s">
        <v>244</v>
      </c>
      <c r="AM36" s="307" t="s">
        <v>62</v>
      </c>
      <c r="AN36" s="317" t="s">
        <v>241</v>
      </c>
      <c r="AO36" s="307" t="s">
        <v>248</v>
      </c>
      <c r="AP36" s="307" t="s">
        <v>62</v>
      </c>
      <c r="AQ36" s="307" t="s">
        <v>208</v>
      </c>
      <c r="AR36" s="307"/>
      <c r="AS36" s="307" t="str">
        <f t="shared" si="0"/>
        <v>Config - 194, CxUHF Link, UL beam: WB-2, C RX-R1, Ch EPC - M, DP IP port - 1, Ch Card - M, Router - M, CDU - M, Sy EPC - M, DP OP port - 3, Sy Card - M2, UHF 100 W SSPA-3</v>
      </c>
    </row>
    <row r="37" spans="1:45" ht="56.25" x14ac:dyDescent="0.25">
      <c r="A37" s="307">
        <v>195</v>
      </c>
      <c r="B37" s="307">
        <v>8</v>
      </c>
      <c r="C37" s="307">
        <v>6403.7</v>
      </c>
      <c r="D37" s="307">
        <v>258.8</v>
      </c>
      <c r="E37" s="307" t="s">
        <v>91</v>
      </c>
      <c r="F37" s="317" t="s">
        <v>27</v>
      </c>
      <c r="G37" s="307" t="s">
        <v>195</v>
      </c>
      <c r="H37" s="307" t="s">
        <v>228</v>
      </c>
      <c r="I37" s="317" t="s">
        <v>274</v>
      </c>
      <c r="J37" s="307" t="s">
        <v>196</v>
      </c>
      <c r="K37" s="307" t="s">
        <v>232</v>
      </c>
      <c r="L37" s="303" t="s">
        <v>273</v>
      </c>
      <c r="M37" s="303" t="s">
        <v>83</v>
      </c>
      <c r="N37" s="303" t="s">
        <v>101</v>
      </c>
      <c r="O37" s="303" t="s">
        <v>83</v>
      </c>
      <c r="P37" s="317" t="s">
        <v>236</v>
      </c>
      <c r="Q37" s="303" t="s">
        <v>102</v>
      </c>
      <c r="R37" s="303" t="s">
        <v>88</v>
      </c>
      <c r="S37" s="303">
        <v>1</v>
      </c>
      <c r="T37" s="303" t="s">
        <v>105</v>
      </c>
      <c r="U37" s="303" t="s">
        <v>83</v>
      </c>
      <c r="V37" s="295" t="s">
        <v>120</v>
      </c>
      <c r="W37" s="303">
        <v>1</v>
      </c>
      <c r="X37" s="303" t="s">
        <v>120</v>
      </c>
      <c r="Y37" s="300" t="s">
        <v>120</v>
      </c>
      <c r="Z37" s="303" t="s">
        <v>121</v>
      </c>
      <c r="AA37" s="295" t="s">
        <v>120</v>
      </c>
      <c r="AB37" s="295" t="s">
        <v>120</v>
      </c>
      <c r="AC37" s="295" t="s">
        <v>120</v>
      </c>
      <c r="AD37" s="303">
        <v>4</v>
      </c>
      <c r="AE37" s="315" t="s">
        <v>137</v>
      </c>
      <c r="AF37" s="300" t="s">
        <v>136</v>
      </c>
      <c r="AG37" s="303" t="s">
        <v>121</v>
      </c>
      <c r="AH37" s="303" t="s">
        <v>218</v>
      </c>
      <c r="AI37" s="303" t="s">
        <v>70</v>
      </c>
      <c r="AJ37" s="303" t="s">
        <v>215</v>
      </c>
      <c r="AK37" s="303" t="s">
        <v>83</v>
      </c>
      <c r="AL37" s="307" t="s">
        <v>245</v>
      </c>
      <c r="AM37" s="307" t="s">
        <v>251</v>
      </c>
      <c r="AN37" s="317" t="s">
        <v>240</v>
      </c>
      <c r="AO37" s="307" t="s">
        <v>249</v>
      </c>
      <c r="AP37" s="307" t="s">
        <v>251</v>
      </c>
      <c r="AQ37" s="307" t="s">
        <v>208</v>
      </c>
      <c r="AR37" s="307"/>
      <c r="AS37" s="307" t="str">
        <f t="shared" si="0"/>
        <v>Config - 195, CxUHF Link, UL beam: WB-2, C RX-R1, Ch EPC - M, DP IP port - 1, Ch Card - M, Router - M, CDU - M, Sy EPC - M, DP OP port - 4, Sy Card - M2, UHF 100 W SSPA-4</v>
      </c>
    </row>
  </sheetData>
  <autoFilter ref="A1:AS37"/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25"/>
  <sheetViews>
    <sheetView zoomScale="85" zoomScaleNormal="85" workbookViewId="0">
      <pane ySplit="1" topLeftCell="A2" activePane="bottomLeft" state="frozen"/>
      <selection activeCell="P1" sqref="P1"/>
      <selection pane="bottomLeft" activeCell="J11" sqref="J11"/>
    </sheetView>
  </sheetViews>
  <sheetFormatPr defaultColWidth="9.140625" defaultRowHeight="15" x14ac:dyDescent="0.25"/>
  <cols>
    <col min="1" max="4" width="9.140625" style="109"/>
    <col min="5" max="5" width="16.42578125" style="109" bestFit="1" customWidth="1"/>
    <col min="6" max="6" width="12.28515625" style="109" bestFit="1" customWidth="1"/>
    <col min="7" max="7" width="16.140625" style="109" customWidth="1"/>
    <col min="8" max="8" width="19.140625" style="109" bestFit="1" customWidth="1"/>
    <col min="9" max="9" width="9.140625" style="109"/>
    <col min="10" max="10" width="17.28515625" style="109" customWidth="1"/>
    <col min="11" max="11" width="19.140625" style="109" bestFit="1" customWidth="1"/>
    <col min="12" max="12" width="14.28515625" style="62" customWidth="1"/>
    <col min="13" max="13" width="20.28515625" style="62" bestFit="1" customWidth="1"/>
    <col min="14" max="14" width="13" style="62" customWidth="1"/>
    <col min="15" max="15" width="15.85546875" style="62" customWidth="1"/>
    <col min="16" max="16" width="20" style="62" bestFit="1" customWidth="1"/>
    <col min="17" max="17" width="15.7109375" style="62" customWidth="1"/>
    <col min="18" max="18" width="18.85546875" style="62" customWidth="1"/>
    <col min="19" max="19" width="10.5703125" style="62" customWidth="1"/>
    <col min="20" max="20" width="36.140625" style="62" customWidth="1"/>
    <col min="21" max="21" width="21.42578125" style="62" customWidth="1"/>
    <col min="22" max="22" width="22.85546875" style="62" customWidth="1"/>
    <col min="23" max="23" width="23.5703125" style="109" customWidth="1"/>
    <col min="24" max="24" width="25.28515625" style="109" customWidth="1"/>
    <col min="25" max="25" width="25.85546875" style="109" bestFit="1" customWidth="1"/>
    <col min="26" max="26" width="23.7109375" style="109" customWidth="1"/>
    <col min="27" max="27" width="24.85546875" style="109" bestFit="1" customWidth="1"/>
    <col min="28" max="28" width="22.28515625" style="109" customWidth="1"/>
    <col min="29" max="29" width="139.85546875" style="109" bestFit="1" customWidth="1"/>
    <col min="30" max="16384" width="9.140625" style="109"/>
  </cols>
  <sheetData>
    <row r="1" spans="1:29" s="114" customFormat="1" ht="37.5" x14ac:dyDescent="0.25">
      <c r="A1" s="307" t="s">
        <v>23</v>
      </c>
      <c r="B1" s="307" t="s">
        <v>31</v>
      </c>
      <c r="C1" s="307" t="s">
        <v>35</v>
      </c>
      <c r="D1" s="307" t="s">
        <v>36</v>
      </c>
      <c r="E1" s="307" t="s">
        <v>25</v>
      </c>
      <c r="F1" s="307" t="s">
        <v>89</v>
      </c>
      <c r="G1" s="307" t="s">
        <v>92</v>
      </c>
      <c r="H1" s="307" t="s">
        <v>93</v>
      </c>
      <c r="I1" s="307" t="s">
        <v>94</v>
      </c>
      <c r="J1" s="307" t="s">
        <v>95</v>
      </c>
      <c r="K1" s="307" t="s">
        <v>96</v>
      </c>
      <c r="L1" s="303" t="s">
        <v>98</v>
      </c>
      <c r="M1" s="303" t="s">
        <v>99</v>
      </c>
      <c r="N1" s="303" t="s">
        <v>101</v>
      </c>
      <c r="O1" s="303" t="s">
        <v>103</v>
      </c>
      <c r="P1" s="303" t="s">
        <v>100</v>
      </c>
      <c r="Q1" s="303" t="s">
        <v>102</v>
      </c>
      <c r="R1" s="303" t="s">
        <v>104</v>
      </c>
      <c r="S1" s="303" t="s">
        <v>271</v>
      </c>
      <c r="T1" s="314" t="s">
        <v>359</v>
      </c>
      <c r="U1" s="314" t="s">
        <v>201</v>
      </c>
      <c r="V1" s="303" t="s">
        <v>202</v>
      </c>
      <c r="W1" s="307" t="s">
        <v>203</v>
      </c>
      <c r="X1" s="307" t="s">
        <v>204</v>
      </c>
      <c r="Y1" s="307" t="s">
        <v>205</v>
      </c>
      <c r="Z1" s="307" t="s">
        <v>206</v>
      </c>
      <c r="AA1" s="307" t="s">
        <v>207</v>
      </c>
      <c r="AB1" s="307" t="s">
        <v>41</v>
      </c>
      <c r="AC1" s="307" t="s">
        <v>524</v>
      </c>
    </row>
    <row r="2" spans="1:29" ht="56.25" x14ac:dyDescent="0.25">
      <c r="A2" s="292">
        <v>72</v>
      </c>
      <c r="B2" s="307">
        <v>72</v>
      </c>
      <c r="C2" s="307">
        <v>6388.0999999999995</v>
      </c>
      <c r="D2" s="307">
        <v>243.2</v>
      </c>
      <c r="E2" s="307" t="s">
        <v>91</v>
      </c>
      <c r="F2" s="295" t="s">
        <v>26</v>
      </c>
      <c r="G2" s="307" t="s">
        <v>195</v>
      </c>
      <c r="H2" s="307" t="s">
        <v>278</v>
      </c>
      <c r="I2" s="295" t="s">
        <v>97</v>
      </c>
      <c r="J2" s="307" t="s">
        <v>196</v>
      </c>
      <c r="K2" s="307" t="s">
        <v>277</v>
      </c>
      <c r="L2" s="303" t="s">
        <v>273</v>
      </c>
      <c r="M2" s="303" t="s">
        <v>83</v>
      </c>
      <c r="N2" s="315" t="s">
        <v>101</v>
      </c>
      <c r="O2" s="315" t="s">
        <v>83</v>
      </c>
      <c r="P2" s="315" t="s">
        <v>236</v>
      </c>
      <c r="Q2" s="303" t="s">
        <v>102</v>
      </c>
      <c r="R2" s="315" t="s">
        <v>83</v>
      </c>
      <c r="S2" s="303">
        <v>1</v>
      </c>
      <c r="T2" s="303" t="s">
        <v>359</v>
      </c>
      <c r="U2" s="303" t="s">
        <v>212</v>
      </c>
      <c r="V2" s="303" t="s">
        <v>88</v>
      </c>
      <c r="W2" s="307" t="s">
        <v>242</v>
      </c>
      <c r="X2" s="307" t="s">
        <v>228</v>
      </c>
      <c r="Y2" s="307" t="s">
        <v>238</v>
      </c>
      <c r="Z2" s="307" t="s">
        <v>246</v>
      </c>
      <c r="AA2" s="307" t="s">
        <v>228</v>
      </c>
      <c r="AB2" s="307" t="s">
        <v>208</v>
      </c>
      <c r="AC2" s="307" t="str">
        <f>CONCATENATE("Config - ",A2,", CxUHF Link, UL Beam: ",F2,", ",I2,", ",T2,", ",Y2)</f>
        <v>Config - 72, CxUHF Link, UL Beam: WB-1, C RX-1, 4 CH SAW FILTER FORWARD LINK PROCESSOR, UHF 100 W SSPA-1</v>
      </c>
    </row>
    <row r="3" spans="1:29" ht="75" x14ac:dyDescent="0.25">
      <c r="A3" s="292">
        <v>73</v>
      </c>
      <c r="B3" s="307">
        <v>73</v>
      </c>
      <c r="C3" s="307">
        <v>6393.2999999999993</v>
      </c>
      <c r="D3" s="307">
        <v>248.4</v>
      </c>
      <c r="E3" s="307" t="s">
        <v>91</v>
      </c>
      <c r="F3" s="295" t="s">
        <v>26</v>
      </c>
      <c r="G3" s="307" t="s">
        <v>195</v>
      </c>
      <c r="H3" s="307" t="s">
        <v>278</v>
      </c>
      <c r="I3" s="295" t="s">
        <v>97</v>
      </c>
      <c r="J3" s="307" t="s">
        <v>196</v>
      </c>
      <c r="K3" s="307" t="s">
        <v>277</v>
      </c>
      <c r="L3" s="303" t="s">
        <v>273</v>
      </c>
      <c r="M3" s="303" t="s">
        <v>83</v>
      </c>
      <c r="N3" s="315" t="s">
        <v>101</v>
      </c>
      <c r="O3" s="315" t="s">
        <v>83</v>
      </c>
      <c r="P3" s="315" t="s">
        <v>236</v>
      </c>
      <c r="Q3" s="303" t="s">
        <v>102</v>
      </c>
      <c r="R3" s="315" t="s">
        <v>83</v>
      </c>
      <c r="S3" s="303">
        <v>1</v>
      </c>
      <c r="T3" s="303" t="s">
        <v>359</v>
      </c>
      <c r="U3" s="303" t="s">
        <v>213</v>
      </c>
      <c r="V3" s="303" t="s">
        <v>88</v>
      </c>
      <c r="W3" s="307" t="s">
        <v>243</v>
      </c>
      <c r="X3" s="307" t="s">
        <v>250</v>
      </c>
      <c r="Y3" s="307" t="s">
        <v>239</v>
      </c>
      <c r="Z3" s="307" t="s">
        <v>247</v>
      </c>
      <c r="AA3" s="307" t="s">
        <v>250</v>
      </c>
      <c r="AB3" s="307" t="s">
        <v>208</v>
      </c>
      <c r="AC3" s="307" t="str">
        <f t="shared" ref="AC3:AC25" si="0">CONCATENATE("Config - ",A3,", CxUHF Link, UL Beam: ",F3,", ",I3,", ",T3,", ",Y3)</f>
        <v>Config - 73, CxUHF Link, UL Beam: WB-1, C RX-1, 4 CH SAW FILTER FORWARD LINK PROCESSOR, UHF 100 W SSPA-2</v>
      </c>
    </row>
    <row r="4" spans="1:29" ht="75" x14ac:dyDescent="0.25">
      <c r="A4" s="292">
        <v>74</v>
      </c>
      <c r="B4" s="307">
        <v>74</v>
      </c>
      <c r="C4" s="307">
        <v>6398.5</v>
      </c>
      <c r="D4" s="307">
        <v>253.6</v>
      </c>
      <c r="E4" s="307" t="s">
        <v>91</v>
      </c>
      <c r="F4" s="295" t="s">
        <v>26</v>
      </c>
      <c r="G4" s="307" t="s">
        <v>195</v>
      </c>
      <c r="H4" s="307" t="s">
        <v>278</v>
      </c>
      <c r="I4" s="295" t="s">
        <v>97</v>
      </c>
      <c r="J4" s="307" t="s">
        <v>196</v>
      </c>
      <c r="K4" s="307" t="s">
        <v>277</v>
      </c>
      <c r="L4" s="303" t="s">
        <v>273</v>
      </c>
      <c r="M4" s="303" t="s">
        <v>83</v>
      </c>
      <c r="N4" s="315" t="s">
        <v>101</v>
      </c>
      <c r="O4" s="315" t="s">
        <v>83</v>
      </c>
      <c r="P4" s="315" t="s">
        <v>236</v>
      </c>
      <c r="Q4" s="303" t="s">
        <v>102</v>
      </c>
      <c r="R4" s="315" t="s">
        <v>83</v>
      </c>
      <c r="S4" s="303">
        <v>1</v>
      </c>
      <c r="T4" s="303" t="s">
        <v>359</v>
      </c>
      <c r="U4" s="303" t="s">
        <v>214</v>
      </c>
      <c r="V4" s="303" t="s">
        <v>88</v>
      </c>
      <c r="W4" s="307" t="s">
        <v>244</v>
      </c>
      <c r="X4" s="307" t="s">
        <v>62</v>
      </c>
      <c r="Y4" s="307" t="s">
        <v>241</v>
      </c>
      <c r="Z4" s="307" t="s">
        <v>248</v>
      </c>
      <c r="AA4" s="307" t="s">
        <v>62</v>
      </c>
      <c r="AB4" s="307" t="s">
        <v>208</v>
      </c>
      <c r="AC4" s="307" t="str">
        <f t="shared" si="0"/>
        <v>Config - 74, CxUHF Link, UL Beam: WB-1, C RX-1, 4 CH SAW FILTER FORWARD LINK PROCESSOR, UHF 100 W SSPA-3</v>
      </c>
    </row>
    <row r="5" spans="1:29" ht="56.25" x14ac:dyDescent="0.25">
      <c r="A5" s="292">
        <v>75</v>
      </c>
      <c r="B5" s="307">
        <v>75</v>
      </c>
      <c r="C5" s="307">
        <v>6403.7</v>
      </c>
      <c r="D5" s="307">
        <v>258.8</v>
      </c>
      <c r="E5" s="307" t="s">
        <v>91</v>
      </c>
      <c r="F5" s="295" t="s">
        <v>26</v>
      </c>
      <c r="G5" s="307" t="s">
        <v>195</v>
      </c>
      <c r="H5" s="307" t="s">
        <v>278</v>
      </c>
      <c r="I5" s="295" t="s">
        <v>97</v>
      </c>
      <c r="J5" s="307" t="s">
        <v>196</v>
      </c>
      <c r="K5" s="307" t="s">
        <v>277</v>
      </c>
      <c r="L5" s="303" t="s">
        <v>273</v>
      </c>
      <c r="M5" s="303" t="s">
        <v>83</v>
      </c>
      <c r="N5" s="315" t="s">
        <v>101</v>
      </c>
      <c r="O5" s="315" t="s">
        <v>83</v>
      </c>
      <c r="P5" s="315" t="s">
        <v>236</v>
      </c>
      <c r="Q5" s="303" t="s">
        <v>102</v>
      </c>
      <c r="R5" s="315" t="s">
        <v>83</v>
      </c>
      <c r="S5" s="303">
        <v>1</v>
      </c>
      <c r="T5" s="303" t="s">
        <v>359</v>
      </c>
      <c r="U5" s="303" t="s">
        <v>215</v>
      </c>
      <c r="V5" s="303" t="s">
        <v>88</v>
      </c>
      <c r="W5" s="307" t="s">
        <v>245</v>
      </c>
      <c r="X5" s="307" t="s">
        <v>251</v>
      </c>
      <c r="Y5" s="307" t="s">
        <v>240</v>
      </c>
      <c r="Z5" s="307" t="s">
        <v>249</v>
      </c>
      <c r="AA5" s="307" t="s">
        <v>251</v>
      </c>
      <c r="AB5" s="307" t="s">
        <v>208</v>
      </c>
      <c r="AC5" s="307" t="str">
        <f t="shared" si="0"/>
        <v>Config - 75, CxUHF Link, UL Beam: WB-1, C RX-1, 4 CH SAW FILTER FORWARD LINK PROCESSOR, UHF 100 W SSPA-4</v>
      </c>
    </row>
    <row r="6" spans="1:29" ht="56.25" x14ac:dyDescent="0.25">
      <c r="A6" s="292">
        <v>76</v>
      </c>
      <c r="B6" s="307">
        <v>76</v>
      </c>
      <c r="C6" s="307">
        <v>6388.0999999999995</v>
      </c>
      <c r="D6" s="307">
        <v>243.2</v>
      </c>
      <c r="E6" s="307" t="s">
        <v>91</v>
      </c>
      <c r="F6" s="295" t="s">
        <v>27</v>
      </c>
      <c r="G6" s="307" t="s">
        <v>195</v>
      </c>
      <c r="H6" s="307" t="s">
        <v>278</v>
      </c>
      <c r="I6" s="295" t="s">
        <v>276</v>
      </c>
      <c r="J6" s="307" t="s">
        <v>196</v>
      </c>
      <c r="K6" s="307" t="s">
        <v>277</v>
      </c>
      <c r="L6" s="303" t="s">
        <v>273</v>
      </c>
      <c r="M6" s="303" t="s">
        <v>88</v>
      </c>
      <c r="N6" s="295" t="s">
        <v>101</v>
      </c>
      <c r="O6" s="295" t="s">
        <v>83</v>
      </c>
      <c r="P6" s="295" t="s">
        <v>236</v>
      </c>
      <c r="Q6" s="303" t="s">
        <v>102</v>
      </c>
      <c r="R6" s="295" t="s">
        <v>83</v>
      </c>
      <c r="S6" s="303">
        <v>4</v>
      </c>
      <c r="T6" s="303" t="s">
        <v>359</v>
      </c>
      <c r="U6" s="303" t="s">
        <v>212</v>
      </c>
      <c r="V6" s="303" t="s">
        <v>88</v>
      </c>
      <c r="W6" s="307" t="s">
        <v>242</v>
      </c>
      <c r="X6" s="307" t="s">
        <v>228</v>
      </c>
      <c r="Y6" s="307" t="s">
        <v>238</v>
      </c>
      <c r="Z6" s="307" t="s">
        <v>246</v>
      </c>
      <c r="AA6" s="307" t="s">
        <v>228</v>
      </c>
      <c r="AB6" s="307" t="s">
        <v>208</v>
      </c>
      <c r="AC6" s="307" t="str">
        <f t="shared" si="0"/>
        <v>Config - 76, CxUHF Link, UL Beam: WB-2, C RX-2, 4 CH SAW FILTER FORWARD LINK PROCESSOR, UHF 100 W SSPA-1</v>
      </c>
    </row>
    <row r="7" spans="1:29" ht="75" x14ac:dyDescent="0.25">
      <c r="A7" s="292">
        <v>77</v>
      </c>
      <c r="B7" s="307">
        <v>77</v>
      </c>
      <c r="C7" s="307">
        <v>6393.2999999999993</v>
      </c>
      <c r="D7" s="307">
        <v>248.4</v>
      </c>
      <c r="E7" s="307" t="s">
        <v>91</v>
      </c>
      <c r="F7" s="295" t="s">
        <v>27</v>
      </c>
      <c r="G7" s="307" t="s">
        <v>195</v>
      </c>
      <c r="H7" s="307" t="s">
        <v>278</v>
      </c>
      <c r="I7" s="295" t="s">
        <v>276</v>
      </c>
      <c r="J7" s="307" t="s">
        <v>196</v>
      </c>
      <c r="K7" s="307" t="s">
        <v>277</v>
      </c>
      <c r="L7" s="303" t="s">
        <v>273</v>
      </c>
      <c r="M7" s="303" t="s">
        <v>88</v>
      </c>
      <c r="N7" s="295" t="s">
        <v>101</v>
      </c>
      <c r="O7" s="295" t="s">
        <v>83</v>
      </c>
      <c r="P7" s="295" t="s">
        <v>236</v>
      </c>
      <c r="Q7" s="303" t="s">
        <v>102</v>
      </c>
      <c r="R7" s="295" t="s">
        <v>83</v>
      </c>
      <c r="S7" s="303">
        <v>4</v>
      </c>
      <c r="T7" s="303" t="s">
        <v>359</v>
      </c>
      <c r="U7" s="303" t="s">
        <v>213</v>
      </c>
      <c r="V7" s="303" t="s">
        <v>88</v>
      </c>
      <c r="W7" s="307" t="s">
        <v>243</v>
      </c>
      <c r="X7" s="307" t="s">
        <v>250</v>
      </c>
      <c r="Y7" s="307" t="s">
        <v>239</v>
      </c>
      <c r="Z7" s="307" t="s">
        <v>247</v>
      </c>
      <c r="AA7" s="307" t="s">
        <v>250</v>
      </c>
      <c r="AB7" s="307" t="s">
        <v>208</v>
      </c>
      <c r="AC7" s="307" t="str">
        <f t="shared" si="0"/>
        <v>Config - 77, CxUHF Link, UL Beam: WB-2, C RX-2, 4 CH SAW FILTER FORWARD LINK PROCESSOR, UHF 100 W SSPA-2</v>
      </c>
    </row>
    <row r="8" spans="1:29" ht="75" x14ac:dyDescent="0.25">
      <c r="A8" s="292">
        <v>78</v>
      </c>
      <c r="B8" s="307">
        <v>78</v>
      </c>
      <c r="C8" s="307">
        <v>6398.5</v>
      </c>
      <c r="D8" s="307">
        <v>253.6</v>
      </c>
      <c r="E8" s="307" t="s">
        <v>91</v>
      </c>
      <c r="F8" s="295" t="s">
        <v>27</v>
      </c>
      <c r="G8" s="307" t="s">
        <v>195</v>
      </c>
      <c r="H8" s="307" t="s">
        <v>278</v>
      </c>
      <c r="I8" s="295" t="s">
        <v>276</v>
      </c>
      <c r="J8" s="307" t="s">
        <v>196</v>
      </c>
      <c r="K8" s="307" t="s">
        <v>277</v>
      </c>
      <c r="L8" s="303" t="s">
        <v>273</v>
      </c>
      <c r="M8" s="303" t="s">
        <v>88</v>
      </c>
      <c r="N8" s="295" t="s">
        <v>101</v>
      </c>
      <c r="O8" s="295" t="s">
        <v>83</v>
      </c>
      <c r="P8" s="295" t="s">
        <v>236</v>
      </c>
      <c r="Q8" s="303" t="s">
        <v>102</v>
      </c>
      <c r="R8" s="295" t="s">
        <v>83</v>
      </c>
      <c r="S8" s="303">
        <v>4</v>
      </c>
      <c r="T8" s="303" t="s">
        <v>359</v>
      </c>
      <c r="U8" s="303" t="s">
        <v>214</v>
      </c>
      <c r="V8" s="303" t="s">
        <v>88</v>
      </c>
      <c r="W8" s="307" t="s">
        <v>244</v>
      </c>
      <c r="X8" s="307" t="s">
        <v>62</v>
      </c>
      <c r="Y8" s="307" t="s">
        <v>241</v>
      </c>
      <c r="Z8" s="307" t="s">
        <v>248</v>
      </c>
      <c r="AA8" s="307" t="s">
        <v>62</v>
      </c>
      <c r="AB8" s="307" t="s">
        <v>208</v>
      </c>
      <c r="AC8" s="307" t="str">
        <f t="shared" si="0"/>
        <v>Config - 78, CxUHF Link, UL Beam: WB-2, C RX-2, 4 CH SAW FILTER FORWARD LINK PROCESSOR, UHF 100 W SSPA-3</v>
      </c>
    </row>
    <row r="9" spans="1:29" ht="56.25" x14ac:dyDescent="0.25">
      <c r="A9" s="292">
        <v>79</v>
      </c>
      <c r="B9" s="307">
        <v>79</v>
      </c>
      <c r="C9" s="307">
        <v>6403.7</v>
      </c>
      <c r="D9" s="307">
        <v>258.8</v>
      </c>
      <c r="E9" s="307" t="s">
        <v>91</v>
      </c>
      <c r="F9" s="295" t="s">
        <v>27</v>
      </c>
      <c r="G9" s="307" t="s">
        <v>195</v>
      </c>
      <c r="H9" s="307" t="s">
        <v>278</v>
      </c>
      <c r="I9" s="295" t="s">
        <v>276</v>
      </c>
      <c r="J9" s="307" t="s">
        <v>196</v>
      </c>
      <c r="K9" s="307" t="s">
        <v>277</v>
      </c>
      <c r="L9" s="303" t="s">
        <v>273</v>
      </c>
      <c r="M9" s="303" t="s">
        <v>88</v>
      </c>
      <c r="N9" s="295" t="s">
        <v>101</v>
      </c>
      <c r="O9" s="295" t="s">
        <v>83</v>
      </c>
      <c r="P9" s="295" t="s">
        <v>236</v>
      </c>
      <c r="Q9" s="303" t="s">
        <v>102</v>
      </c>
      <c r="R9" s="295" t="s">
        <v>83</v>
      </c>
      <c r="S9" s="303">
        <v>4</v>
      </c>
      <c r="T9" s="303" t="s">
        <v>359</v>
      </c>
      <c r="U9" s="303" t="s">
        <v>215</v>
      </c>
      <c r="V9" s="303" t="s">
        <v>88</v>
      </c>
      <c r="W9" s="307" t="s">
        <v>245</v>
      </c>
      <c r="X9" s="307" t="s">
        <v>251</v>
      </c>
      <c r="Y9" s="307" t="s">
        <v>240</v>
      </c>
      <c r="Z9" s="307" t="s">
        <v>249</v>
      </c>
      <c r="AA9" s="307" t="s">
        <v>251</v>
      </c>
      <c r="AB9" s="307" t="s">
        <v>208</v>
      </c>
      <c r="AC9" s="307" t="str">
        <f t="shared" si="0"/>
        <v>Config - 79, CxUHF Link, UL Beam: WB-2, C RX-2, 4 CH SAW FILTER FORWARD LINK PROCESSOR, UHF 100 W SSPA-4</v>
      </c>
    </row>
    <row r="10" spans="1:29" ht="56.25" x14ac:dyDescent="0.25">
      <c r="A10" s="307">
        <v>140</v>
      </c>
      <c r="B10" s="307">
        <v>72</v>
      </c>
      <c r="C10" s="307">
        <v>6388.0999999999995</v>
      </c>
      <c r="D10" s="307">
        <v>243.2</v>
      </c>
      <c r="E10" s="307" t="s">
        <v>91</v>
      </c>
      <c r="F10" s="300" t="s">
        <v>26</v>
      </c>
      <c r="G10" s="307" t="s">
        <v>195</v>
      </c>
      <c r="H10" s="307" t="s">
        <v>279</v>
      </c>
      <c r="I10" s="300" t="s">
        <v>274</v>
      </c>
      <c r="J10" s="307" t="s">
        <v>196</v>
      </c>
      <c r="K10" s="307" t="s">
        <v>70</v>
      </c>
      <c r="L10" s="303" t="s">
        <v>273</v>
      </c>
      <c r="M10" s="303" t="s">
        <v>83</v>
      </c>
      <c r="N10" s="315" t="s">
        <v>101</v>
      </c>
      <c r="O10" s="315" t="s">
        <v>88</v>
      </c>
      <c r="P10" s="315" t="s">
        <v>237</v>
      </c>
      <c r="Q10" s="303" t="s">
        <v>102</v>
      </c>
      <c r="R10" s="315" t="s">
        <v>88</v>
      </c>
      <c r="S10" s="303">
        <v>2</v>
      </c>
      <c r="T10" s="303" t="s">
        <v>359</v>
      </c>
      <c r="U10" s="303" t="s">
        <v>212</v>
      </c>
      <c r="V10" s="303" t="s">
        <v>88</v>
      </c>
      <c r="W10" s="295" t="s">
        <v>242</v>
      </c>
      <c r="X10" s="295" t="s">
        <v>251</v>
      </c>
      <c r="Y10" s="295" t="s">
        <v>239</v>
      </c>
      <c r="Z10" s="295" t="s">
        <v>246</v>
      </c>
      <c r="AA10" s="295" t="s">
        <v>251</v>
      </c>
      <c r="AB10" s="295" t="s">
        <v>208</v>
      </c>
      <c r="AC10" s="307" t="str">
        <f t="shared" si="0"/>
        <v>Config - 140, CxUHF Link, UL Beam: WB-1, C RX-R1, 4 CH SAW FILTER FORWARD LINK PROCESSOR, UHF 100 W SSPA-2</v>
      </c>
    </row>
    <row r="11" spans="1:29" ht="75" x14ac:dyDescent="0.25">
      <c r="A11" s="307">
        <v>141</v>
      </c>
      <c r="B11" s="307">
        <v>73</v>
      </c>
      <c r="C11" s="307">
        <v>6393.2999999999993</v>
      </c>
      <c r="D11" s="307">
        <v>248.4</v>
      </c>
      <c r="E11" s="307" t="s">
        <v>91</v>
      </c>
      <c r="F11" s="300" t="s">
        <v>26</v>
      </c>
      <c r="G11" s="307" t="s">
        <v>195</v>
      </c>
      <c r="H11" s="307" t="s">
        <v>279</v>
      </c>
      <c r="I11" s="300" t="s">
        <v>274</v>
      </c>
      <c r="J11" s="307" t="s">
        <v>196</v>
      </c>
      <c r="K11" s="307" t="s">
        <v>70</v>
      </c>
      <c r="L11" s="303" t="s">
        <v>273</v>
      </c>
      <c r="M11" s="303" t="s">
        <v>83</v>
      </c>
      <c r="N11" s="315" t="s">
        <v>101</v>
      </c>
      <c r="O11" s="315" t="s">
        <v>88</v>
      </c>
      <c r="P11" s="315" t="s">
        <v>237</v>
      </c>
      <c r="Q11" s="303" t="s">
        <v>102</v>
      </c>
      <c r="R11" s="315" t="s">
        <v>88</v>
      </c>
      <c r="S11" s="303">
        <v>2</v>
      </c>
      <c r="T11" s="303" t="s">
        <v>359</v>
      </c>
      <c r="U11" s="303" t="s">
        <v>213</v>
      </c>
      <c r="V11" s="303" t="s">
        <v>88</v>
      </c>
      <c r="W11" s="295" t="s">
        <v>243</v>
      </c>
      <c r="X11" s="295" t="s">
        <v>62</v>
      </c>
      <c r="Y11" s="295" t="s">
        <v>252</v>
      </c>
      <c r="Z11" s="295" t="s">
        <v>247</v>
      </c>
      <c r="AA11" s="316" t="s">
        <v>62</v>
      </c>
      <c r="AB11" s="295" t="s">
        <v>208</v>
      </c>
      <c r="AC11" s="307" t="str">
        <f t="shared" si="0"/>
        <v>Config - 141, CxUHF Link, UL Beam: WB-1, C RX-R1, 4 CH SAW FILTER FORWARD LINK PROCESSOR, UHF 100 W SSPA-R1</v>
      </c>
    </row>
    <row r="12" spans="1:29" ht="75" x14ac:dyDescent="0.25">
      <c r="A12" s="307">
        <v>142</v>
      </c>
      <c r="B12" s="307">
        <v>74</v>
      </c>
      <c r="C12" s="307">
        <v>6398.5</v>
      </c>
      <c r="D12" s="307">
        <v>253.6</v>
      </c>
      <c r="E12" s="307" t="s">
        <v>91</v>
      </c>
      <c r="F12" s="300" t="s">
        <v>26</v>
      </c>
      <c r="G12" s="307" t="s">
        <v>195</v>
      </c>
      <c r="H12" s="307" t="s">
        <v>279</v>
      </c>
      <c r="I12" s="300" t="s">
        <v>274</v>
      </c>
      <c r="J12" s="307" t="s">
        <v>196</v>
      </c>
      <c r="K12" s="307" t="s">
        <v>70</v>
      </c>
      <c r="L12" s="303" t="s">
        <v>273</v>
      </c>
      <c r="M12" s="303" t="s">
        <v>83</v>
      </c>
      <c r="N12" s="315" t="s">
        <v>101</v>
      </c>
      <c r="O12" s="315" t="s">
        <v>88</v>
      </c>
      <c r="P12" s="315" t="s">
        <v>237</v>
      </c>
      <c r="Q12" s="303" t="s">
        <v>102</v>
      </c>
      <c r="R12" s="315" t="s">
        <v>88</v>
      </c>
      <c r="S12" s="303">
        <v>2</v>
      </c>
      <c r="T12" s="303" t="s">
        <v>359</v>
      </c>
      <c r="U12" s="303" t="s">
        <v>214</v>
      </c>
      <c r="V12" s="303" t="s">
        <v>88</v>
      </c>
      <c r="W12" s="295" t="s">
        <v>244</v>
      </c>
      <c r="X12" s="295" t="s">
        <v>250</v>
      </c>
      <c r="Y12" s="295" t="s">
        <v>252</v>
      </c>
      <c r="Z12" s="295" t="s">
        <v>248</v>
      </c>
      <c r="AA12" s="295" t="s">
        <v>250</v>
      </c>
      <c r="AB12" s="295" t="s">
        <v>208</v>
      </c>
      <c r="AC12" s="307" t="str">
        <f t="shared" si="0"/>
        <v>Config - 142, CxUHF Link, UL Beam: WB-1, C RX-R1, 4 CH SAW FILTER FORWARD LINK PROCESSOR, UHF 100 W SSPA-R1</v>
      </c>
    </row>
    <row r="13" spans="1:29" ht="56.25" x14ac:dyDescent="0.25">
      <c r="A13" s="307">
        <v>143</v>
      </c>
      <c r="B13" s="307">
        <v>75</v>
      </c>
      <c r="C13" s="307">
        <v>6403.7</v>
      </c>
      <c r="D13" s="307">
        <v>258.8</v>
      </c>
      <c r="E13" s="307" t="s">
        <v>91</v>
      </c>
      <c r="F13" s="300" t="s">
        <v>26</v>
      </c>
      <c r="G13" s="307" t="s">
        <v>195</v>
      </c>
      <c r="H13" s="307" t="s">
        <v>279</v>
      </c>
      <c r="I13" s="300" t="s">
        <v>274</v>
      </c>
      <c r="J13" s="307" t="s">
        <v>196</v>
      </c>
      <c r="K13" s="307" t="s">
        <v>70</v>
      </c>
      <c r="L13" s="303" t="s">
        <v>273</v>
      </c>
      <c r="M13" s="303" t="s">
        <v>83</v>
      </c>
      <c r="N13" s="315" t="s">
        <v>101</v>
      </c>
      <c r="O13" s="315" t="s">
        <v>88</v>
      </c>
      <c r="P13" s="315" t="s">
        <v>237</v>
      </c>
      <c r="Q13" s="303" t="s">
        <v>102</v>
      </c>
      <c r="R13" s="315" t="s">
        <v>88</v>
      </c>
      <c r="S13" s="303">
        <v>2</v>
      </c>
      <c r="T13" s="303" t="s">
        <v>359</v>
      </c>
      <c r="U13" s="303" t="s">
        <v>215</v>
      </c>
      <c r="V13" s="303" t="s">
        <v>88</v>
      </c>
      <c r="W13" s="295" t="s">
        <v>245</v>
      </c>
      <c r="X13" s="295" t="s">
        <v>228</v>
      </c>
      <c r="Y13" s="295" t="s">
        <v>241</v>
      </c>
      <c r="Z13" s="295" t="s">
        <v>249</v>
      </c>
      <c r="AA13" s="295" t="s">
        <v>228</v>
      </c>
      <c r="AB13" s="295" t="s">
        <v>208</v>
      </c>
      <c r="AC13" s="307" t="str">
        <f t="shared" si="0"/>
        <v>Config - 143, CxUHF Link, UL Beam: WB-1, C RX-R1, 4 CH SAW FILTER FORWARD LINK PROCESSOR, UHF 100 W SSPA-3</v>
      </c>
    </row>
    <row r="14" spans="1:29" ht="56.25" x14ac:dyDescent="0.25">
      <c r="A14" s="307">
        <v>144</v>
      </c>
      <c r="B14" s="307">
        <v>72</v>
      </c>
      <c r="C14" s="307">
        <v>6388.0999999999995</v>
      </c>
      <c r="D14" s="307">
        <v>243.2</v>
      </c>
      <c r="E14" s="307" t="s">
        <v>91</v>
      </c>
      <c r="F14" s="317" t="s">
        <v>26</v>
      </c>
      <c r="G14" s="307" t="s">
        <v>195</v>
      </c>
      <c r="H14" s="307" t="s">
        <v>232</v>
      </c>
      <c r="I14" s="317" t="s">
        <v>275</v>
      </c>
      <c r="J14" s="307" t="s">
        <v>196</v>
      </c>
      <c r="K14" s="307" t="s">
        <v>228</v>
      </c>
      <c r="L14" s="303" t="s">
        <v>273</v>
      </c>
      <c r="M14" s="303" t="s">
        <v>88</v>
      </c>
      <c r="N14" s="315" t="s">
        <v>101</v>
      </c>
      <c r="O14" s="315" t="s">
        <v>88</v>
      </c>
      <c r="P14" s="315" t="s">
        <v>237</v>
      </c>
      <c r="Q14" s="303" t="s">
        <v>102</v>
      </c>
      <c r="R14" s="315" t="s">
        <v>88</v>
      </c>
      <c r="S14" s="303">
        <v>3</v>
      </c>
      <c r="T14" s="303" t="s">
        <v>359</v>
      </c>
      <c r="U14" s="303" t="s">
        <v>212</v>
      </c>
      <c r="V14" s="303" t="s">
        <v>88</v>
      </c>
      <c r="W14" s="295" t="s">
        <v>242</v>
      </c>
      <c r="X14" s="295" t="s">
        <v>251</v>
      </c>
      <c r="Y14" s="295" t="s">
        <v>239</v>
      </c>
      <c r="Z14" s="295" t="s">
        <v>246</v>
      </c>
      <c r="AA14" s="295" t="s">
        <v>251</v>
      </c>
      <c r="AB14" s="295" t="s">
        <v>208</v>
      </c>
      <c r="AC14" s="307" t="str">
        <f t="shared" si="0"/>
        <v>Config - 144, CxUHF Link, UL Beam: WB-1, C RX-R2, 4 CH SAW FILTER FORWARD LINK PROCESSOR, UHF 100 W SSPA-2</v>
      </c>
    </row>
    <row r="15" spans="1:29" ht="75" x14ac:dyDescent="0.25">
      <c r="A15" s="307">
        <v>145</v>
      </c>
      <c r="B15" s="307">
        <v>73</v>
      </c>
      <c r="C15" s="307">
        <v>6393.2999999999993</v>
      </c>
      <c r="D15" s="307">
        <v>248.4</v>
      </c>
      <c r="E15" s="307" t="s">
        <v>91</v>
      </c>
      <c r="F15" s="317" t="s">
        <v>26</v>
      </c>
      <c r="G15" s="307" t="s">
        <v>195</v>
      </c>
      <c r="H15" s="307" t="s">
        <v>232</v>
      </c>
      <c r="I15" s="317" t="s">
        <v>275</v>
      </c>
      <c r="J15" s="307" t="s">
        <v>196</v>
      </c>
      <c r="K15" s="307" t="s">
        <v>228</v>
      </c>
      <c r="L15" s="303" t="s">
        <v>273</v>
      </c>
      <c r="M15" s="303" t="s">
        <v>88</v>
      </c>
      <c r="N15" s="315" t="s">
        <v>101</v>
      </c>
      <c r="O15" s="315" t="s">
        <v>88</v>
      </c>
      <c r="P15" s="315" t="s">
        <v>237</v>
      </c>
      <c r="Q15" s="303" t="s">
        <v>102</v>
      </c>
      <c r="R15" s="315" t="s">
        <v>88</v>
      </c>
      <c r="S15" s="303">
        <v>3</v>
      </c>
      <c r="T15" s="303" t="s">
        <v>359</v>
      </c>
      <c r="U15" s="303" t="s">
        <v>213</v>
      </c>
      <c r="V15" s="303" t="s">
        <v>88</v>
      </c>
      <c r="W15" s="295" t="s">
        <v>243</v>
      </c>
      <c r="X15" s="295" t="s">
        <v>62</v>
      </c>
      <c r="Y15" s="295" t="s">
        <v>252</v>
      </c>
      <c r="Z15" s="295" t="s">
        <v>247</v>
      </c>
      <c r="AA15" s="316" t="s">
        <v>62</v>
      </c>
      <c r="AB15" s="295" t="s">
        <v>208</v>
      </c>
      <c r="AC15" s="307" t="str">
        <f t="shared" si="0"/>
        <v>Config - 145, CxUHF Link, UL Beam: WB-1, C RX-R2, 4 CH SAW FILTER FORWARD LINK PROCESSOR, UHF 100 W SSPA-R1</v>
      </c>
    </row>
    <row r="16" spans="1:29" ht="75" x14ac:dyDescent="0.25">
      <c r="A16" s="307">
        <v>146</v>
      </c>
      <c r="B16" s="307">
        <v>74</v>
      </c>
      <c r="C16" s="307">
        <v>6398.5</v>
      </c>
      <c r="D16" s="307">
        <v>253.6</v>
      </c>
      <c r="E16" s="307" t="s">
        <v>91</v>
      </c>
      <c r="F16" s="317" t="s">
        <v>26</v>
      </c>
      <c r="G16" s="307" t="s">
        <v>195</v>
      </c>
      <c r="H16" s="307" t="s">
        <v>232</v>
      </c>
      <c r="I16" s="317" t="s">
        <v>275</v>
      </c>
      <c r="J16" s="307" t="s">
        <v>196</v>
      </c>
      <c r="K16" s="307" t="s">
        <v>228</v>
      </c>
      <c r="L16" s="303" t="s">
        <v>273</v>
      </c>
      <c r="M16" s="303" t="s">
        <v>88</v>
      </c>
      <c r="N16" s="315" t="s">
        <v>101</v>
      </c>
      <c r="O16" s="315" t="s">
        <v>88</v>
      </c>
      <c r="P16" s="315" t="s">
        <v>237</v>
      </c>
      <c r="Q16" s="303" t="s">
        <v>102</v>
      </c>
      <c r="R16" s="315" t="s">
        <v>88</v>
      </c>
      <c r="S16" s="303">
        <v>3</v>
      </c>
      <c r="T16" s="303" t="s">
        <v>359</v>
      </c>
      <c r="U16" s="303" t="s">
        <v>214</v>
      </c>
      <c r="V16" s="303" t="s">
        <v>88</v>
      </c>
      <c r="W16" s="295" t="s">
        <v>244</v>
      </c>
      <c r="X16" s="295" t="s">
        <v>250</v>
      </c>
      <c r="Y16" s="295" t="s">
        <v>252</v>
      </c>
      <c r="Z16" s="295" t="s">
        <v>248</v>
      </c>
      <c r="AA16" s="295" t="s">
        <v>250</v>
      </c>
      <c r="AB16" s="295" t="s">
        <v>208</v>
      </c>
      <c r="AC16" s="307" t="str">
        <f t="shared" si="0"/>
        <v>Config - 146, CxUHF Link, UL Beam: WB-1, C RX-R2, 4 CH SAW FILTER FORWARD LINK PROCESSOR, UHF 100 W SSPA-R1</v>
      </c>
    </row>
    <row r="17" spans="1:29" ht="56.25" x14ac:dyDescent="0.25">
      <c r="A17" s="307">
        <v>147</v>
      </c>
      <c r="B17" s="307">
        <v>75</v>
      </c>
      <c r="C17" s="307">
        <v>6403.7</v>
      </c>
      <c r="D17" s="307">
        <v>258.8</v>
      </c>
      <c r="E17" s="307" t="s">
        <v>91</v>
      </c>
      <c r="F17" s="317" t="s">
        <v>26</v>
      </c>
      <c r="G17" s="307" t="s">
        <v>195</v>
      </c>
      <c r="H17" s="307" t="s">
        <v>232</v>
      </c>
      <c r="I17" s="317" t="s">
        <v>275</v>
      </c>
      <c r="J17" s="307" t="s">
        <v>196</v>
      </c>
      <c r="K17" s="307" t="s">
        <v>228</v>
      </c>
      <c r="L17" s="303" t="s">
        <v>273</v>
      </c>
      <c r="M17" s="303" t="s">
        <v>88</v>
      </c>
      <c r="N17" s="315" t="s">
        <v>101</v>
      </c>
      <c r="O17" s="315" t="s">
        <v>88</v>
      </c>
      <c r="P17" s="315" t="s">
        <v>237</v>
      </c>
      <c r="Q17" s="303" t="s">
        <v>102</v>
      </c>
      <c r="R17" s="315" t="s">
        <v>88</v>
      </c>
      <c r="S17" s="303">
        <v>3</v>
      </c>
      <c r="T17" s="303" t="s">
        <v>359</v>
      </c>
      <c r="U17" s="303" t="s">
        <v>215</v>
      </c>
      <c r="V17" s="303" t="s">
        <v>88</v>
      </c>
      <c r="W17" s="295" t="s">
        <v>245</v>
      </c>
      <c r="X17" s="295" t="s">
        <v>228</v>
      </c>
      <c r="Y17" s="295" t="s">
        <v>241</v>
      </c>
      <c r="Z17" s="295" t="s">
        <v>249</v>
      </c>
      <c r="AA17" s="295" t="s">
        <v>228</v>
      </c>
      <c r="AB17" s="295" t="s">
        <v>208</v>
      </c>
      <c r="AC17" s="307" t="str">
        <f t="shared" si="0"/>
        <v>Config - 147, CxUHF Link, UL Beam: WB-1, C RX-R2, 4 CH SAW FILTER FORWARD LINK PROCESSOR, UHF 100 W SSPA-3</v>
      </c>
    </row>
    <row r="18" spans="1:29" ht="56.25" x14ac:dyDescent="0.25">
      <c r="A18" s="307">
        <v>148</v>
      </c>
      <c r="B18" s="307">
        <v>76</v>
      </c>
      <c r="C18" s="307">
        <v>6388.0999999999995</v>
      </c>
      <c r="D18" s="307">
        <v>243.2</v>
      </c>
      <c r="E18" s="307" t="s">
        <v>91</v>
      </c>
      <c r="F18" s="300" t="s">
        <v>27</v>
      </c>
      <c r="G18" s="307" t="s">
        <v>195</v>
      </c>
      <c r="H18" s="307" t="s">
        <v>68</v>
      </c>
      <c r="I18" s="300" t="s">
        <v>275</v>
      </c>
      <c r="J18" s="307" t="s">
        <v>196</v>
      </c>
      <c r="K18" s="307" t="s">
        <v>66</v>
      </c>
      <c r="L18" s="303" t="s">
        <v>273</v>
      </c>
      <c r="M18" s="303" t="s">
        <v>88</v>
      </c>
      <c r="N18" s="295" t="s">
        <v>101</v>
      </c>
      <c r="O18" s="295" t="s">
        <v>88</v>
      </c>
      <c r="P18" s="295" t="s">
        <v>237</v>
      </c>
      <c r="Q18" s="303" t="s">
        <v>102</v>
      </c>
      <c r="R18" s="295" t="s">
        <v>88</v>
      </c>
      <c r="S18" s="303">
        <v>5</v>
      </c>
      <c r="T18" s="303" t="s">
        <v>359</v>
      </c>
      <c r="U18" s="303" t="s">
        <v>212</v>
      </c>
      <c r="V18" s="303" t="s">
        <v>88</v>
      </c>
      <c r="W18" s="295" t="s">
        <v>242</v>
      </c>
      <c r="X18" s="295" t="s">
        <v>251</v>
      </c>
      <c r="Y18" s="295" t="s">
        <v>239</v>
      </c>
      <c r="Z18" s="295" t="s">
        <v>246</v>
      </c>
      <c r="AA18" s="295" t="s">
        <v>251</v>
      </c>
      <c r="AB18" s="295" t="s">
        <v>208</v>
      </c>
      <c r="AC18" s="307" t="str">
        <f t="shared" si="0"/>
        <v>Config - 148, CxUHF Link, UL Beam: WB-2, C RX-R2, 4 CH SAW FILTER FORWARD LINK PROCESSOR, UHF 100 W SSPA-2</v>
      </c>
    </row>
    <row r="19" spans="1:29" ht="75" x14ac:dyDescent="0.25">
      <c r="A19" s="307">
        <v>149</v>
      </c>
      <c r="B19" s="307">
        <v>77</v>
      </c>
      <c r="C19" s="307">
        <v>6393.2999999999993</v>
      </c>
      <c r="D19" s="307">
        <v>248.4</v>
      </c>
      <c r="E19" s="307" t="s">
        <v>91</v>
      </c>
      <c r="F19" s="300" t="s">
        <v>27</v>
      </c>
      <c r="G19" s="307" t="s">
        <v>195</v>
      </c>
      <c r="H19" s="307" t="s">
        <v>68</v>
      </c>
      <c r="I19" s="300" t="s">
        <v>275</v>
      </c>
      <c r="J19" s="307" t="s">
        <v>196</v>
      </c>
      <c r="K19" s="307" t="s">
        <v>66</v>
      </c>
      <c r="L19" s="303" t="s">
        <v>273</v>
      </c>
      <c r="M19" s="303" t="s">
        <v>88</v>
      </c>
      <c r="N19" s="295" t="s">
        <v>101</v>
      </c>
      <c r="O19" s="295" t="s">
        <v>88</v>
      </c>
      <c r="P19" s="295" t="s">
        <v>237</v>
      </c>
      <c r="Q19" s="303" t="s">
        <v>102</v>
      </c>
      <c r="R19" s="295" t="s">
        <v>88</v>
      </c>
      <c r="S19" s="303">
        <v>5</v>
      </c>
      <c r="T19" s="303" t="s">
        <v>359</v>
      </c>
      <c r="U19" s="303" t="s">
        <v>213</v>
      </c>
      <c r="V19" s="303" t="s">
        <v>88</v>
      </c>
      <c r="W19" s="295" t="s">
        <v>243</v>
      </c>
      <c r="X19" s="295" t="s">
        <v>62</v>
      </c>
      <c r="Y19" s="295" t="s">
        <v>252</v>
      </c>
      <c r="Z19" s="295" t="s">
        <v>247</v>
      </c>
      <c r="AA19" s="316" t="s">
        <v>62</v>
      </c>
      <c r="AB19" s="295" t="s">
        <v>208</v>
      </c>
      <c r="AC19" s="307" t="str">
        <f t="shared" si="0"/>
        <v>Config - 149, CxUHF Link, UL Beam: WB-2, C RX-R2, 4 CH SAW FILTER FORWARD LINK PROCESSOR, UHF 100 W SSPA-R1</v>
      </c>
    </row>
    <row r="20" spans="1:29" ht="75" x14ac:dyDescent="0.25">
      <c r="A20" s="307">
        <v>150</v>
      </c>
      <c r="B20" s="307">
        <v>78</v>
      </c>
      <c r="C20" s="307">
        <v>6398.5</v>
      </c>
      <c r="D20" s="307">
        <v>253.6</v>
      </c>
      <c r="E20" s="307" t="s">
        <v>91</v>
      </c>
      <c r="F20" s="300" t="s">
        <v>27</v>
      </c>
      <c r="G20" s="307" t="s">
        <v>195</v>
      </c>
      <c r="H20" s="307" t="s">
        <v>68</v>
      </c>
      <c r="I20" s="300" t="s">
        <v>275</v>
      </c>
      <c r="J20" s="307" t="s">
        <v>196</v>
      </c>
      <c r="K20" s="307" t="s">
        <v>66</v>
      </c>
      <c r="L20" s="303" t="s">
        <v>273</v>
      </c>
      <c r="M20" s="303" t="s">
        <v>88</v>
      </c>
      <c r="N20" s="295" t="s">
        <v>101</v>
      </c>
      <c r="O20" s="295" t="s">
        <v>88</v>
      </c>
      <c r="P20" s="295" t="s">
        <v>237</v>
      </c>
      <c r="Q20" s="303" t="s">
        <v>102</v>
      </c>
      <c r="R20" s="295" t="s">
        <v>88</v>
      </c>
      <c r="S20" s="303">
        <v>5</v>
      </c>
      <c r="T20" s="303" t="s">
        <v>359</v>
      </c>
      <c r="U20" s="303" t="s">
        <v>214</v>
      </c>
      <c r="V20" s="303" t="s">
        <v>88</v>
      </c>
      <c r="W20" s="295" t="s">
        <v>244</v>
      </c>
      <c r="X20" s="295" t="s">
        <v>250</v>
      </c>
      <c r="Y20" s="295" t="s">
        <v>252</v>
      </c>
      <c r="Z20" s="295" t="s">
        <v>248</v>
      </c>
      <c r="AA20" s="295" t="s">
        <v>250</v>
      </c>
      <c r="AB20" s="295" t="s">
        <v>208</v>
      </c>
      <c r="AC20" s="307" t="str">
        <f t="shared" si="0"/>
        <v>Config - 150, CxUHF Link, UL Beam: WB-2, C RX-R2, 4 CH SAW FILTER FORWARD LINK PROCESSOR, UHF 100 W SSPA-R1</v>
      </c>
    </row>
    <row r="21" spans="1:29" ht="56.25" x14ac:dyDescent="0.25">
      <c r="A21" s="307">
        <v>151</v>
      </c>
      <c r="B21" s="307">
        <v>79</v>
      </c>
      <c r="C21" s="307">
        <v>6403.7</v>
      </c>
      <c r="D21" s="307">
        <v>258.8</v>
      </c>
      <c r="E21" s="307" t="s">
        <v>91</v>
      </c>
      <c r="F21" s="300" t="s">
        <v>27</v>
      </c>
      <c r="G21" s="307" t="s">
        <v>195</v>
      </c>
      <c r="H21" s="307" t="s">
        <v>68</v>
      </c>
      <c r="I21" s="300" t="s">
        <v>275</v>
      </c>
      <c r="J21" s="307" t="s">
        <v>196</v>
      </c>
      <c r="K21" s="307" t="s">
        <v>66</v>
      </c>
      <c r="L21" s="303" t="s">
        <v>273</v>
      </c>
      <c r="M21" s="303" t="s">
        <v>88</v>
      </c>
      <c r="N21" s="295" t="s">
        <v>101</v>
      </c>
      <c r="O21" s="295" t="s">
        <v>88</v>
      </c>
      <c r="P21" s="295" t="s">
        <v>237</v>
      </c>
      <c r="Q21" s="303" t="s">
        <v>102</v>
      </c>
      <c r="R21" s="295" t="s">
        <v>88</v>
      </c>
      <c r="S21" s="303">
        <v>5</v>
      </c>
      <c r="T21" s="303" t="s">
        <v>359</v>
      </c>
      <c r="U21" s="303" t="s">
        <v>215</v>
      </c>
      <c r="V21" s="303" t="s">
        <v>88</v>
      </c>
      <c r="W21" s="295" t="s">
        <v>245</v>
      </c>
      <c r="X21" s="295" t="s">
        <v>228</v>
      </c>
      <c r="Y21" s="295" t="s">
        <v>241</v>
      </c>
      <c r="Z21" s="295" t="s">
        <v>249</v>
      </c>
      <c r="AA21" s="295" t="s">
        <v>228</v>
      </c>
      <c r="AB21" s="295" t="s">
        <v>208</v>
      </c>
      <c r="AC21" s="307" t="str">
        <f t="shared" si="0"/>
        <v>Config - 151, CxUHF Link, UL Beam: WB-2, C RX-R2, 4 CH SAW FILTER FORWARD LINK PROCESSOR, UHF 100 W SSPA-3</v>
      </c>
    </row>
    <row r="22" spans="1:29" ht="56.25" x14ac:dyDescent="0.25">
      <c r="A22" s="307">
        <v>152</v>
      </c>
      <c r="B22" s="307">
        <v>76</v>
      </c>
      <c r="C22" s="307">
        <v>6388.0999999999995</v>
      </c>
      <c r="D22" s="307">
        <v>243.2</v>
      </c>
      <c r="E22" s="307" t="s">
        <v>91</v>
      </c>
      <c r="F22" s="317" t="s">
        <v>27</v>
      </c>
      <c r="G22" s="307" t="s">
        <v>195</v>
      </c>
      <c r="H22" s="307" t="s">
        <v>228</v>
      </c>
      <c r="I22" s="317" t="s">
        <v>274</v>
      </c>
      <c r="J22" s="307" t="s">
        <v>196</v>
      </c>
      <c r="K22" s="307" t="s">
        <v>232</v>
      </c>
      <c r="L22" s="303" t="s">
        <v>273</v>
      </c>
      <c r="M22" s="303" t="s">
        <v>83</v>
      </c>
      <c r="N22" s="295" t="s">
        <v>101</v>
      </c>
      <c r="O22" s="295" t="s">
        <v>88</v>
      </c>
      <c r="P22" s="295" t="s">
        <v>237</v>
      </c>
      <c r="Q22" s="303" t="s">
        <v>102</v>
      </c>
      <c r="R22" s="295" t="s">
        <v>88</v>
      </c>
      <c r="S22" s="303">
        <v>6</v>
      </c>
      <c r="T22" s="303" t="s">
        <v>359</v>
      </c>
      <c r="U22" s="303" t="s">
        <v>212</v>
      </c>
      <c r="V22" s="303" t="s">
        <v>88</v>
      </c>
      <c r="W22" s="295" t="s">
        <v>242</v>
      </c>
      <c r="X22" s="295" t="s">
        <v>251</v>
      </c>
      <c r="Y22" s="295" t="s">
        <v>239</v>
      </c>
      <c r="Z22" s="295" t="s">
        <v>246</v>
      </c>
      <c r="AA22" s="295" t="s">
        <v>251</v>
      </c>
      <c r="AB22" s="295" t="s">
        <v>208</v>
      </c>
      <c r="AC22" s="307" t="str">
        <f t="shared" si="0"/>
        <v>Config - 152, CxUHF Link, UL Beam: WB-2, C RX-R1, 4 CH SAW FILTER FORWARD LINK PROCESSOR, UHF 100 W SSPA-2</v>
      </c>
    </row>
    <row r="23" spans="1:29" ht="75" x14ac:dyDescent="0.25">
      <c r="A23" s="307">
        <v>153</v>
      </c>
      <c r="B23" s="307">
        <v>77</v>
      </c>
      <c r="C23" s="307">
        <v>6393.2999999999993</v>
      </c>
      <c r="D23" s="307">
        <v>248.4</v>
      </c>
      <c r="E23" s="307" t="s">
        <v>91</v>
      </c>
      <c r="F23" s="317" t="s">
        <v>27</v>
      </c>
      <c r="G23" s="307" t="s">
        <v>195</v>
      </c>
      <c r="H23" s="307" t="s">
        <v>228</v>
      </c>
      <c r="I23" s="317" t="s">
        <v>274</v>
      </c>
      <c r="J23" s="307" t="s">
        <v>196</v>
      </c>
      <c r="K23" s="307" t="s">
        <v>232</v>
      </c>
      <c r="L23" s="303" t="s">
        <v>273</v>
      </c>
      <c r="M23" s="303" t="s">
        <v>83</v>
      </c>
      <c r="N23" s="295" t="s">
        <v>101</v>
      </c>
      <c r="O23" s="295" t="s">
        <v>88</v>
      </c>
      <c r="P23" s="295" t="s">
        <v>237</v>
      </c>
      <c r="Q23" s="303" t="s">
        <v>102</v>
      </c>
      <c r="R23" s="295" t="s">
        <v>88</v>
      </c>
      <c r="S23" s="303">
        <v>6</v>
      </c>
      <c r="T23" s="303" t="s">
        <v>359</v>
      </c>
      <c r="U23" s="303" t="s">
        <v>213</v>
      </c>
      <c r="V23" s="303" t="s">
        <v>88</v>
      </c>
      <c r="W23" s="295" t="s">
        <v>243</v>
      </c>
      <c r="X23" s="295" t="s">
        <v>62</v>
      </c>
      <c r="Y23" s="295" t="s">
        <v>252</v>
      </c>
      <c r="Z23" s="295" t="s">
        <v>247</v>
      </c>
      <c r="AA23" s="316" t="s">
        <v>62</v>
      </c>
      <c r="AB23" s="295" t="s">
        <v>208</v>
      </c>
      <c r="AC23" s="307" t="str">
        <f t="shared" si="0"/>
        <v>Config - 153, CxUHF Link, UL Beam: WB-2, C RX-R1, 4 CH SAW FILTER FORWARD LINK PROCESSOR, UHF 100 W SSPA-R1</v>
      </c>
    </row>
    <row r="24" spans="1:29" ht="75" x14ac:dyDescent="0.25">
      <c r="A24" s="307">
        <v>154</v>
      </c>
      <c r="B24" s="307">
        <v>78</v>
      </c>
      <c r="C24" s="307">
        <v>6398.5</v>
      </c>
      <c r="D24" s="307">
        <v>253.6</v>
      </c>
      <c r="E24" s="307" t="s">
        <v>91</v>
      </c>
      <c r="F24" s="317" t="s">
        <v>27</v>
      </c>
      <c r="G24" s="307" t="s">
        <v>195</v>
      </c>
      <c r="H24" s="307" t="s">
        <v>228</v>
      </c>
      <c r="I24" s="317" t="s">
        <v>274</v>
      </c>
      <c r="J24" s="307" t="s">
        <v>196</v>
      </c>
      <c r="K24" s="307" t="s">
        <v>232</v>
      </c>
      <c r="L24" s="303" t="s">
        <v>273</v>
      </c>
      <c r="M24" s="303" t="s">
        <v>83</v>
      </c>
      <c r="N24" s="295" t="s">
        <v>101</v>
      </c>
      <c r="O24" s="295" t="s">
        <v>88</v>
      </c>
      <c r="P24" s="295" t="s">
        <v>237</v>
      </c>
      <c r="Q24" s="303" t="s">
        <v>102</v>
      </c>
      <c r="R24" s="295" t="s">
        <v>88</v>
      </c>
      <c r="S24" s="303">
        <v>6</v>
      </c>
      <c r="T24" s="303" t="s">
        <v>359</v>
      </c>
      <c r="U24" s="303" t="s">
        <v>214</v>
      </c>
      <c r="V24" s="303" t="s">
        <v>88</v>
      </c>
      <c r="W24" s="295" t="s">
        <v>244</v>
      </c>
      <c r="X24" s="295" t="s">
        <v>250</v>
      </c>
      <c r="Y24" s="295" t="s">
        <v>252</v>
      </c>
      <c r="Z24" s="295" t="s">
        <v>248</v>
      </c>
      <c r="AA24" s="295" t="s">
        <v>250</v>
      </c>
      <c r="AB24" s="295" t="s">
        <v>208</v>
      </c>
      <c r="AC24" s="307" t="str">
        <f t="shared" si="0"/>
        <v>Config - 154, CxUHF Link, UL Beam: WB-2, C RX-R1, 4 CH SAW FILTER FORWARD LINK PROCESSOR, UHF 100 W SSPA-R1</v>
      </c>
    </row>
    <row r="25" spans="1:29" ht="56.25" x14ac:dyDescent="0.25">
      <c r="A25" s="307">
        <v>155</v>
      </c>
      <c r="B25" s="307">
        <v>79</v>
      </c>
      <c r="C25" s="307">
        <v>6403.7</v>
      </c>
      <c r="D25" s="307">
        <v>258.8</v>
      </c>
      <c r="E25" s="307" t="s">
        <v>91</v>
      </c>
      <c r="F25" s="317" t="s">
        <v>27</v>
      </c>
      <c r="G25" s="307" t="s">
        <v>195</v>
      </c>
      <c r="H25" s="307" t="s">
        <v>228</v>
      </c>
      <c r="I25" s="317" t="s">
        <v>274</v>
      </c>
      <c r="J25" s="307" t="s">
        <v>196</v>
      </c>
      <c r="K25" s="307" t="s">
        <v>232</v>
      </c>
      <c r="L25" s="303" t="s">
        <v>273</v>
      </c>
      <c r="M25" s="303" t="s">
        <v>83</v>
      </c>
      <c r="N25" s="295" t="s">
        <v>101</v>
      </c>
      <c r="O25" s="295" t="s">
        <v>88</v>
      </c>
      <c r="P25" s="295" t="s">
        <v>237</v>
      </c>
      <c r="Q25" s="303" t="s">
        <v>102</v>
      </c>
      <c r="R25" s="295" t="s">
        <v>88</v>
      </c>
      <c r="S25" s="303">
        <v>6</v>
      </c>
      <c r="T25" s="303" t="s">
        <v>359</v>
      </c>
      <c r="U25" s="303" t="s">
        <v>215</v>
      </c>
      <c r="V25" s="303" t="s">
        <v>88</v>
      </c>
      <c r="W25" s="295" t="s">
        <v>245</v>
      </c>
      <c r="X25" s="295" t="s">
        <v>228</v>
      </c>
      <c r="Y25" s="295" t="s">
        <v>241</v>
      </c>
      <c r="Z25" s="295" t="s">
        <v>249</v>
      </c>
      <c r="AA25" s="295" t="s">
        <v>228</v>
      </c>
      <c r="AB25" s="295" t="s">
        <v>208</v>
      </c>
      <c r="AC25" s="307" t="str">
        <f t="shared" si="0"/>
        <v>Config - 155, CxUHF Link, UL Beam: WB-2, C RX-R1, 4 CH SAW FILTER FORWARD LINK PROCESSOR, UHF 100 W SSPA-3</v>
      </c>
    </row>
  </sheetData>
  <autoFilter ref="A1:AB25"/>
  <pageMargins left="0.7" right="0.7" top="0.75" bottom="0.75" header="0.3" footer="0.3"/>
  <pageSetup paperSize="9" scale="20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68"/>
  <sheetViews>
    <sheetView zoomScale="70" zoomScaleNormal="70" workbookViewId="0">
      <pane ySplit="1" topLeftCell="A47" activePane="bottomLeft" state="frozen"/>
      <selection activeCell="P1" sqref="P1"/>
      <selection pane="bottomLeft" activeCell="D50" sqref="D50:D68"/>
    </sheetView>
  </sheetViews>
  <sheetFormatPr defaultColWidth="9.140625" defaultRowHeight="15" x14ac:dyDescent="0.25"/>
  <cols>
    <col min="1" max="2" width="9.28515625" style="31" bestFit="1" customWidth="1"/>
    <col min="3" max="3" width="15.42578125" style="31" bestFit="1" customWidth="1"/>
    <col min="4" max="4" width="16.42578125" style="31" bestFit="1" customWidth="1"/>
    <col min="5" max="5" width="14" style="193" customWidth="1"/>
    <col min="6" max="6" width="22.140625" style="31" hidden="1" customWidth="1"/>
    <col min="7" max="7" width="24.42578125" style="31" hidden="1" customWidth="1"/>
    <col min="8" max="8" width="19" style="31" hidden="1" customWidth="1"/>
    <col min="9" max="9" width="21.140625" style="31" hidden="1" customWidth="1"/>
    <col min="10" max="10" width="14.140625" style="31" hidden="1" customWidth="1"/>
    <col min="11" max="11" width="19" style="31" hidden="1" customWidth="1"/>
    <col min="12" max="12" width="21.140625" style="31" hidden="1" customWidth="1"/>
    <col min="13" max="13" width="18.42578125" style="62" hidden="1" customWidth="1"/>
    <col min="14" max="14" width="20.28515625" style="62" hidden="1" customWidth="1"/>
    <col min="15" max="15" width="21.42578125" style="62" customWidth="1"/>
    <col min="16" max="16" width="20.28515625" style="62" bestFit="1" customWidth="1"/>
    <col min="17" max="17" width="20.28515625" style="62" customWidth="1"/>
    <col min="18" max="18" width="23.28515625" style="62" customWidth="1"/>
    <col min="19" max="19" width="20.28515625" style="62" customWidth="1"/>
    <col min="20" max="20" width="25.42578125" style="80" customWidth="1"/>
    <col min="21" max="21" width="25.42578125" style="62" customWidth="1"/>
    <col min="22" max="22" width="31.140625" style="63" customWidth="1"/>
    <col min="23" max="23" width="26" style="62" bestFit="1" customWidth="1"/>
    <col min="24" max="24" width="31.5703125" style="84" bestFit="1" customWidth="1"/>
    <col min="25" max="25" width="31.85546875" style="83" bestFit="1" customWidth="1"/>
    <col min="26" max="26" width="31.85546875" style="84" bestFit="1" customWidth="1"/>
    <col min="27" max="28" width="10.28515625" style="63" customWidth="1"/>
    <col min="29" max="29" width="31" style="63" bestFit="1" customWidth="1"/>
    <col min="30" max="30" width="21.5703125" style="62" customWidth="1"/>
    <col min="31" max="31" width="30.28515625" style="84" customWidth="1"/>
    <col min="32" max="32" width="33.28515625" style="83" customWidth="1"/>
    <col min="33" max="33" width="42.140625" style="84" bestFit="1" customWidth="1"/>
    <col min="34" max="34" width="21.140625" style="62" bestFit="1" customWidth="1"/>
    <col min="35" max="35" width="27.140625" style="62" bestFit="1" customWidth="1"/>
    <col min="36" max="36" width="33.140625" style="62" bestFit="1" customWidth="1"/>
    <col min="37" max="37" width="39.140625" style="62" bestFit="1" customWidth="1"/>
    <col min="38" max="38" width="21.7109375" style="31" bestFit="1" customWidth="1"/>
    <col min="39" max="39" width="30.5703125" style="62" bestFit="1" customWidth="1"/>
    <col min="40" max="40" width="36.42578125" style="31" bestFit="1" customWidth="1"/>
    <col min="41" max="41" width="31.7109375" style="31" bestFit="1" customWidth="1"/>
    <col min="42" max="42" width="37.7109375" style="69" bestFit="1" customWidth="1"/>
    <col min="43" max="43" width="26.7109375" style="69" bestFit="1" customWidth="1"/>
    <col min="44" max="44" width="33.140625" style="69" bestFit="1" customWidth="1"/>
    <col min="45" max="45" width="28" style="69" bestFit="1" customWidth="1"/>
    <col min="46" max="46" width="28.7109375" style="31" bestFit="1" customWidth="1"/>
    <col min="47" max="47" width="25.42578125" style="31" bestFit="1" customWidth="1"/>
    <col min="48" max="48" width="215.7109375" style="31" bestFit="1" customWidth="1"/>
    <col min="49" max="16384" width="9.140625" style="31"/>
  </cols>
  <sheetData>
    <row r="1" spans="1:57" s="61" customFormat="1" ht="19.5" thickBot="1" x14ac:dyDescent="0.3">
      <c r="A1" s="319" t="s">
        <v>23</v>
      </c>
      <c r="B1" s="319" t="s">
        <v>31</v>
      </c>
      <c r="C1" s="319" t="s">
        <v>35</v>
      </c>
      <c r="D1" s="319" t="s">
        <v>36</v>
      </c>
      <c r="E1" s="347" t="s">
        <v>591</v>
      </c>
      <c r="F1" s="319" t="s">
        <v>89</v>
      </c>
      <c r="G1" s="319" t="s">
        <v>25</v>
      </c>
      <c r="H1" s="319" t="s">
        <v>254</v>
      </c>
      <c r="I1" s="319" t="s">
        <v>255</v>
      </c>
      <c r="J1" s="319" t="s">
        <v>140</v>
      </c>
      <c r="K1" s="319" t="s">
        <v>256</v>
      </c>
      <c r="L1" s="319" t="s">
        <v>257</v>
      </c>
      <c r="M1" s="320" t="s">
        <v>258</v>
      </c>
      <c r="N1" s="320" t="s">
        <v>259</v>
      </c>
      <c r="O1" s="320" t="s">
        <v>260</v>
      </c>
      <c r="P1" s="320" t="s">
        <v>261</v>
      </c>
      <c r="Q1" s="320" t="s">
        <v>262</v>
      </c>
      <c r="R1" s="320" t="s">
        <v>263</v>
      </c>
      <c r="S1" s="320" t="s">
        <v>264</v>
      </c>
      <c r="T1" s="348" t="s">
        <v>330</v>
      </c>
      <c r="U1" s="320" t="s">
        <v>272</v>
      </c>
      <c r="V1" s="349" t="s">
        <v>197</v>
      </c>
      <c r="W1" s="320" t="s">
        <v>589</v>
      </c>
      <c r="X1" s="350" t="s">
        <v>266</v>
      </c>
      <c r="Y1" s="351" t="s">
        <v>267</v>
      </c>
      <c r="Z1" s="350" t="s">
        <v>318</v>
      </c>
      <c r="AA1" s="349" t="s">
        <v>118</v>
      </c>
      <c r="AB1" s="349" t="s">
        <v>119</v>
      </c>
      <c r="AC1" s="349" t="s">
        <v>198</v>
      </c>
      <c r="AD1" s="320" t="s">
        <v>590</v>
      </c>
      <c r="AE1" s="350" t="s">
        <v>268</v>
      </c>
      <c r="AF1" s="351" t="s">
        <v>269</v>
      </c>
      <c r="AG1" s="350" t="s">
        <v>270</v>
      </c>
      <c r="AH1" s="320" t="s">
        <v>312</v>
      </c>
      <c r="AI1" s="320" t="s">
        <v>313</v>
      </c>
      <c r="AJ1" s="320" t="s">
        <v>286</v>
      </c>
      <c r="AK1" s="320" t="s">
        <v>287</v>
      </c>
      <c r="AL1" s="319" t="s">
        <v>141</v>
      </c>
      <c r="AM1" s="320" t="s">
        <v>288</v>
      </c>
      <c r="AN1" s="319" t="s">
        <v>289</v>
      </c>
      <c r="AO1" s="319" t="s">
        <v>290</v>
      </c>
      <c r="AP1" s="319" t="s">
        <v>291</v>
      </c>
      <c r="AQ1" s="319" t="s">
        <v>292</v>
      </c>
      <c r="AR1" s="319" t="s">
        <v>293</v>
      </c>
      <c r="AS1" s="319" t="s">
        <v>294</v>
      </c>
      <c r="AT1" s="319" t="s">
        <v>41</v>
      </c>
      <c r="AU1" s="319" t="s">
        <v>90</v>
      </c>
      <c r="AV1" s="311" t="s">
        <v>524</v>
      </c>
      <c r="AW1" s="14"/>
      <c r="AX1" s="14"/>
      <c r="AY1" s="14"/>
      <c r="AZ1" s="14"/>
      <c r="BA1" s="14"/>
      <c r="BB1" s="14"/>
      <c r="BC1" s="14"/>
      <c r="BD1" s="14"/>
      <c r="BE1" s="14"/>
    </row>
    <row r="2" spans="1:57" ht="56.25" x14ac:dyDescent="0.25">
      <c r="A2" s="321">
        <v>9</v>
      </c>
      <c r="B2" s="322">
        <v>9</v>
      </c>
      <c r="C2" s="323">
        <v>290.35703100000001</v>
      </c>
      <c r="D2" s="323">
        <v>4163.3570309999996</v>
      </c>
      <c r="E2" s="362">
        <v>25</v>
      </c>
      <c r="F2" s="324"/>
      <c r="G2" s="324" t="s">
        <v>253</v>
      </c>
      <c r="H2" s="325" t="s">
        <v>254</v>
      </c>
      <c r="I2" s="324" t="s">
        <v>83</v>
      </c>
      <c r="J2" s="324" t="s">
        <v>295</v>
      </c>
      <c r="K2" s="325" t="s">
        <v>256</v>
      </c>
      <c r="L2" s="324" t="s">
        <v>83</v>
      </c>
      <c r="M2" s="326" t="s">
        <v>258</v>
      </c>
      <c r="N2" s="324" t="s">
        <v>83</v>
      </c>
      <c r="O2" s="340" t="s">
        <v>302</v>
      </c>
      <c r="P2" s="340" t="s">
        <v>251</v>
      </c>
      <c r="Q2" s="322" t="s">
        <v>296</v>
      </c>
      <c r="R2" s="340" t="s">
        <v>311</v>
      </c>
      <c r="S2" s="340" t="s">
        <v>63</v>
      </c>
      <c r="T2" s="363" t="s">
        <v>331</v>
      </c>
      <c r="U2" s="340">
        <v>1</v>
      </c>
      <c r="V2" s="322" t="s">
        <v>120</v>
      </c>
      <c r="W2" s="340">
        <v>1</v>
      </c>
      <c r="X2" s="340" t="s">
        <v>209</v>
      </c>
      <c r="Y2" s="340" t="s">
        <v>316</v>
      </c>
      <c r="Z2" s="340" t="s">
        <v>317</v>
      </c>
      <c r="AA2" s="322" t="s">
        <v>120</v>
      </c>
      <c r="AB2" s="322" t="s">
        <v>120</v>
      </c>
      <c r="AC2" s="322" t="s">
        <v>120</v>
      </c>
      <c r="AD2" s="340">
        <v>1</v>
      </c>
      <c r="AE2" s="340" t="s">
        <v>120</v>
      </c>
      <c r="AF2" s="340" t="s">
        <v>120</v>
      </c>
      <c r="AG2" s="340" t="s">
        <v>121</v>
      </c>
      <c r="AH2" s="327" t="s">
        <v>312</v>
      </c>
      <c r="AI2" s="326" t="s">
        <v>83</v>
      </c>
      <c r="AJ2" s="326" t="s">
        <v>286</v>
      </c>
      <c r="AK2" s="326" t="s">
        <v>83</v>
      </c>
      <c r="AL2" s="325" t="s">
        <v>314</v>
      </c>
      <c r="AM2" s="326" t="s">
        <v>288</v>
      </c>
      <c r="AN2" s="324" t="s">
        <v>83</v>
      </c>
      <c r="AO2" s="325" t="s">
        <v>290</v>
      </c>
      <c r="AP2" s="325" t="s">
        <v>83</v>
      </c>
      <c r="AQ2" s="325" t="s">
        <v>315</v>
      </c>
      <c r="AR2" s="325" t="s">
        <v>293</v>
      </c>
      <c r="AS2" s="325" t="s">
        <v>83</v>
      </c>
      <c r="AT2" s="324" t="s">
        <v>91</v>
      </c>
      <c r="AU2" s="329" t="s">
        <v>26</v>
      </c>
      <c r="AV2" s="364" t="str">
        <f>CONCATENATE("Config - ",A2, ", UHF x C Link, ",J2,", ",Q2,", ","Ch EPC - ",V2,", DP IP port - ",W2,", Ch Card - ",X2,", Router - ",AA2,", CDU - ",AB2,", Sy EPC - ",AC2,", DP OP port - ",AD2,", Sy Card - ",AE2, ", ",AL2, ", ",AQ2)</f>
        <v>Config - 9, UHF x C Link, UHF LNA-1, UHF DA-1, Ch EPC - M, DP IP port - 1, Ch Card - M1, Router - M, CDU - M, Sy EPC - M, DP OP port - 1, Sy Card - M, UHF x C U/C - 1, UHF x C C SSPA - 1</v>
      </c>
      <c r="AW2" s="71"/>
      <c r="AX2" s="71"/>
      <c r="AY2" s="71"/>
      <c r="AZ2" s="71"/>
      <c r="BA2" s="71"/>
      <c r="BB2" s="71"/>
      <c r="BC2" s="71"/>
      <c r="BD2" s="71"/>
      <c r="BE2" s="71"/>
    </row>
    <row r="3" spans="1:57" ht="56.25" x14ac:dyDescent="0.25">
      <c r="A3" s="287">
        <v>10</v>
      </c>
      <c r="B3" s="330">
        <v>10</v>
      </c>
      <c r="C3" s="331">
        <v>291.96171900000002</v>
      </c>
      <c r="D3" s="331">
        <v>4164.9617189999999</v>
      </c>
      <c r="E3" s="365">
        <v>5</v>
      </c>
      <c r="F3" s="311"/>
      <c r="G3" s="311" t="s">
        <v>253</v>
      </c>
      <c r="H3" s="307" t="s">
        <v>254</v>
      </c>
      <c r="I3" s="311" t="s">
        <v>83</v>
      </c>
      <c r="J3" s="311" t="s">
        <v>295</v>
      </c>
      <c r="K3" s="307" t="s">
        <v>256</v>
      </c>
      <c r="L3" s="311" t="s">
        <v>83</v>
      </c>
      <c r="M3" s="301" t="s">
        <v>258</v>
      </c>
      <c r="N3" s="311" t="s">
        <v>83</v>
      </c>
      <c r="O3" s="300" t="s">
        <v>302</v>
      </c>
      <c r="P3" s="300" t="s">
        <v>251</v>
      </c>
      <c r="Q3" s="336" t="s">
        <v>296</v>
      </c>
      <c r="R3" s="300" t="s">
        <v>311</v>
      </c>
      <c r="S3" s="300" t="s">
        <v>63</v>
      </c>
      <c r="T3" s="366" t="s">
        <v>331</v>
      </c>
      <c r="U3" s="300">
        <v>1</v>
      </c>
      <c r="V3" s="330" t="s">
        <v>120</v>
      </c>
      <c r="W3" s="300">
        <v>1</v>
      </c>
      <c r="X3" s="300" t="s">
        <v>209</v>
      </c>
      <c r="Y3" s="300" t="s">
        <v>316</v>
      </c>
      <c r="Z3" s="300" t="s">
        <v>317</v>
      </c>
      <c r="AA3" s="330" t="s">
        <v>120</v>
      </c>
      <c r="AB3" s="330" t="s">
        <v>120</v>
      </c>
      <c r="AC3" s="330" t="s">
        <v>120</v>
      </c>
      <c r="AD3" s="300">
        <v>1</v>
      </c>
      <c r="AE3" s="300" t="s">
        <v>120</v>
      </c>
      <c r="AF3" s="300" t="s">
        <v>120</v>
      </c>
      <c r="AG3" s="300" t="s">
        <v>121</v>
      </c>
      <c r="AH3" s="303" t="s">
        <v>312</v>
      </c>
      <c r="AI3" s="301" t="s">
        <v>83</v>
      </c>
      <c r="AJ3" s="301" t="s">
        <v>286</v>
      </c>
      <c r="AK3" s="301" t="s">
        <v>83</v>
      </c>
      <c r="AL3" s="307" t="s">
        <v>314</v>
      </c>
      <c r="AM3" s="301" t="s">
        <v>288</v>
      </c>
      <c r="AN3" s="311" t="s">
        <v>83</v>
      </c>
      <c r="AO3" s="307" t="s">
        <v>290</v>
      </c>
      <c r="AP3" s="307" t="s">
        <v>83</v>
      </c>
      <c r="AQ3" s="307" t="s">
        <v>315</v>
      </c>
      <c r="AR3" s="307" t="s">
        <v>293</v>
      </c>
      <c r="AS3" s="307" t="s">
        <v>83</v>
      </c>
      <c r="AT3" s="311" t="s">
        <v>91</v>
      </c>
      <c r="AU3" s="333" t="s">
        <v>26</v>
      </c>
      <c r="AV3" s="364" t="str">
        <f t="shared" ref="AV3:AV66" si="0">CONCATENATE("Config - ",A3, ", UHF x C Link, ",J3,", ",Q3,", ","Ch EPC - ",V3,", DP IP port - ",W3,", Ch Card - ",X3,", Router - ",AA3,", CDU - ",AB3,", Sy EPC - ",AC3,", DP OP port - ",AD3,", Sy Card - ",AE3, ", ",AL3, ", ",AQ3)</f>
        <v>Config - 10, UHF x C Link, UHF LNA-1, UHF DA-1, Ch EPC - M, DP IP port - 1, Ch Card - M1, Router - M, CDU - M, Sy EPC - M, DP OP port - 1, Sy Card - M, UHF x C U/C - 1, UHF x C C SSPA - 1</v>
      </c>
      <c r="AW3" s="71"/>
      <c r="AX3" s="71"/>
      <c r="AY3" s="71"/>
      <c r="AZ3" s="71"/>
      <c r="BA3" s="71"/>
      <c r="BB3" s="71"/>
      <c r="BC3" s="71"/>
      <c r="BD3" s="71"/>
      <c r="BE3" s="71"/>
    </row>
    <row r="4" spans="1:57" ht="56.25" x14ac:dyDescent="0.25">
      <c r="A4" s="287">
        <v>11</v>
      </c>
      <c r="B4" s="330">
        <v>11</v>
      </c>
      <c r="C4" s="331">
        <v>291.98203100000001</v>
      </c>
      <c r="D4" s="331">
        <v>4164.9820309999996</v>
      </c>
      <c r="E4" s="365">
        <v>5</v>
      </c>
      <c r="F4" s="311"/>
      <c r="G4" s="311" t="s">
        <v>253</v>
      </c>
      <c r="H4" s="307" t="s">
        <v>254</v>
      </c>
      <c r="I4" s="311" t="s">
        <v>83</v>
      </c>
      <c r="J4" s="311" t="s">
        <v>295</v>
      </c>
      <c r="K4" s="307" t="s">
        <v>256</v>
      </c>
      <c r="L4" s="311" t="s">
        <v>83</v>
      </c>
      <c r="M4" s="301" t="s">
        <v>258</v>
      </c>
      <c r="N4" s="311" t="s">
        <v>83</v>
      </c>
      <c r="O4" s="300" t="s">
        <v>302</v>
      </c>
      <c r="P4" s="300" t="s">
        <v>251</v>
      </c>
      <c r="Q4" s="336" t="s">
        <v>296</v>
      </c>
      <c r="R4" s="300" t="s">
        <v>311</v>
      </c>
      <c r="S4" s="300" t="s">
        <v>63</v>
      </c>
      <c r="T4" s="366" t="s">
        <v>331</v>
      </c>
      <c r="U4" s="300">
        <v>1</v>
      </c>
      <c r="V4" s="330" t="s">
        <v>120</v>
      </c>
      <c r="W4" s="300">
        <v>1</v>
      </c>
      <c r="X4" s="300" t="s">
        <v>209</v>
      </c>
      <c r="Y4" s="300" t="s">
        <v>316</v>
      </c>
      <c r="Z4" s="300" t="s">
        <v>317</v>
      </c>
      <c r="AA4" s="330" t="s">
        <v>120</v>
      </c>
      <c r="AB4" s="330" t="s">
        <v>120</v>
      </c>
      <c r="AC4" s="330" t="s">
        <v>120</v>
      </c>
      <c r="AD4" s="300">
        <v>1</v>
      </c>
      <c r="AE4" s="300" t="s">
        <v>120</v>
      </c>
      <c r="AF4" s="300" t="s">
        <v>120</v>
      </c>
      <c r="AG4" s="300" t="s">
        <v>121</v>
      </c>
      <c r="AH4" s="303" t="s">
        <v>312</v>
      </c>
      <c r="AI4" s="301" t="s">
        <v>83</v>
      </c>
      <c r="AJ4" s="301" t="s">
        <v>286</v>
      </c>
      <c r="AK4" s="301" t="s">
        <v>83</v>
      </c>
      <c r="AL4" s="307" t="s">
        <v>314</v>
      </c>
      <c r="AM4" s="301" t="s">
        <v>288</v>
      </c>
      <c r="AN4" s="311" t="s">
        <v>83</v>
      </c>
      <c r="AO4" s="307" t="s">
        <v>290</v>
      </c>
      <c r="AP4" s="307" t="s">
        <v>83</v>
      </c>
      <c r="AQ4" s="307" t="s">
        <v>315</v>
      </c>
      <c r="AR4" s="307" t="s">
        <v>293</v>
      </c>
      <c r="AS4" s="307" t="s">
        <v>83</v>
      </c>
      <c r="AT4" s="311" t="s">
        <v>91</v>
      </c>
      <c r="AU4" s="333" t="s">
        <v>26</v>
      </c>
      <c r="AV4" s="364" t="str">
        <f t="shared" si="0"/>
        <v>Config - 11, UHF x C Link, UHF LNA-1, UHF DA-1, Ch EPC - M, DP IP port - 1, Ch Card - M1, Router - M, CDU - M, Sy EPC - M, DP OP port - 1, Sy Card - M, UHF x C U/C - 1, UHF x C C SSPA - 1</v>
      </c>
      <c r="AW4" s="71"/>
      <c r="AX4" s="71"/>
      <c r="AY4" s="71"/>
      <c r="AZ4" s="71"/>
      <c r="BA4" s="71"/>
      <c r="BB4" s="71"/>
      <c r="BC4" s="71"/>
      <c r="BD4" s="71"/>
      <c r="BE4" s="71"/>
    </row>
    <row r="5" spans="1:57" ht="56.25" x14ac:dyDescent="0.25">
      <c r="A5" s="287">
        <v>12</v>
      </c>
      <c r="B5" s="330">
        <v>12</v>
      </c>
      <c r="C5" s="331">
        <v>292.00234399999999</v>
      </c>
      <c r="D5" s="331">
        <v>4165.0023440000004</v>
      </c>
      <c r="E5" s="365">
        <v>5</v>
      </c>
      <c r="F5" s="311"/>
      <c r="G5" s="311" t="s">
        <v>253</v>
      </c>
      <c r="H5" s="307" t="s">
        <v>254</v>
      </c>
      <c r="I5" s="311" t="s">
        <v>83</v>
      </c>
      <c r="J5" s="311" t="s">
        <v>295</v>
      </c>
      <c r="K5" s="307" t="s">
        <v>256</v>
      </c>
      <c r="L5" s="311" t="s">
        <v>83</v>
      </c>
      <c r="M5" s="301" t="s">
        <v>258</v>
      </c>
      <c r="N5" s="311" t="s">
        <v>83</v>
      </c>
      <c r="O5" s="300" t="s">
        <v>302</v>
      </c>
      <c r="P5" s="300" t="s">
        <v>251</v>
      </c>
      <c r="Q5" s="336" t="s">
        <v>296</v>
      </c>
      <c r="R5" s="300" t="s">
        <v>311</v>
      </c>
      <c r="S5" s="300" t="s">
        <v>63</v>
      </c>
      <c r="T5" s="366" t="s">
        <v>331</v>
      </c>
      <c r="U5" s="300">
        <v>1</v>
      </c>
      <c r="V5" s="330" t="s">
        <v>120</v>
      </c>
      <c r="W5" s="300">
        <v>1</v>
      </c>
      <c r="X5" s="300" t="s">
        <v>209</v>
      </c>
      <c r="Y5" s="300" t="s">
        <v>316</v>
      </c>
      <c r="Z5" s="300" t="s">
        <v>317</v>
      </c>
      <c r="AA5" s="330" t="s">
        <v>120</v>
      </c>
      <c r="AB5" s="330" t="s">
        <v>120</v>
      </c>
      <c r="AC5" s="330" t="s">
        <v>120</v>
      </c>
      <c r="AD5" s="300">
        <v>1</v>
      </c>
      <c r="AE5" s="300" t="s">
        <v>120</v>
      </c>
      <c r="AF5" s="300" t="s">
        <v>120</v>
      </c>
      <c r="AG5" s="300" t="s">
        <v>121</v>
      </c>
      <c r="AH5" s="303" t="s">
        <v>312</v>
      </c>
      <c r="AI5" s="301" t="s">
        <v>83</v>
      </c>
      <c r="AJ5" s="301" t="s">
        <v>286</v>
      </c>
      <c r="AK5" s="301" t="s">
        <v>83</v>
      </c>
      <c r="AL5" s="307" t="s">
        <v>314</v>
      </c>
      <c r="AM5" s="301" t="s">
        <v>288</v>
      </c>
      <c r="AN5" s="311" t="s">
        <v>83</v>
      </c>
      <c r="AO5" s="307" t="s">
        <v>290</v>
      </c>
      <c r="AP5" s="307" t="s">
        <v>83</v>
      </c>
      <c r="AQ5" s="307" t="s">
        <v>315</v>
      </c>
      <c r="AR5" s="307" t="s">
        <v>293</v>
      </c>
      <c r="AS5" s="307" t="s">
        <v>83</v>
      </c>
      <c r="AT5" s="311" t="s">
        <v>91</v>
      </c>
      <c r="AU5" s="333" t="s">
        <v>26</v>
      </c>
      <c r="AV5" s="364" t="str">
        <f t="shared" si="0"/>
        <v>Config - 12, UHF x C Link, UHF LNA-1, UHF DA-1, Ch EPC - M, DP IP port - 1, Ch Card - M1, Router - M, CDU - M, Sy EPC - M, DP OP port - 1, Sy Card - M, UHF x C U/C - 1, UHF x C C SSPA - 1</v>
      </c>
      <c r="AW5" s="71"/>
      <c r="AX5" s="71"/>
      <c r="AY5" s="71"/>
      <c r="AZ5" s="71"/>
      <c r="BA5" s="71"/>
      <c r="BB5" s="71"/>
      <c r="BC5" s="71"/>
      <c r="BD5" s="71"/>
      <c r="BE5" s="71"/>
    </row>
    <row r="6" spans="1:57" ht="56.25" x14ac:dyDescent="0.25">
      <c r="A6" s="287">
        <v>13</v>
      </c>
      <c r="B6" s="330">
        <v>13</v>
      </c>
      <c r="C6" s="331">
        <v>292.02265599999998</v>
      </c>
      <c r="D6" s="331">
        <v>4165.0226560000001</v>
      </c>
      <c r="E6" s="365">
        <v>5</v>
      </c>
      <c r="F6" s="311"/>
      <c r="G6" s="311" t="s">
        <v>253</v>
      </c>
      <c r="H6" s="307" t="s">
        <v>254</v>
      </c>
      <c r="I6" s="311" t="s">
        <v>83</v>
      </c>
      <c r="J6" s="311" t="s">
        <v>295</v>
      </c>
      <c r="K6" s="307" t="s">
        <v>256</v>
      </c>
      <c r="L6" s="311" t="s">
        <v>83</v>
      </c>
      <c r="M6" s="301" t="s">
        <v>258</v>
      </c>
      <c r="N6" s="311" t="s">
        <v>83</v>
      </c>
      <c r="O6" s="300" t="s">
        <v>302</v>
      </c>
      <c r="P6" s="300" t="s">
        <v>251</v>
      </c>
      <c r="Q6" s="336" t="s">
        <v>296</v>
      </c>
      <c r="R6" s="300" t="s">
        <v>311</v>
      </c>
      <c r="S6" s="300" t="s">
        <v>63</v>
      </c>
      <c r="T6" s="366" t="s">
        <v>331</v>
      </c>
      <c r="U6" s="300">
        <v>1</v>
      </c>
      <c r="V6" s="330" t="s">
        <v>120</v>
      </c>
      <c r="W6" s="300">
        <v>1</v>
      </c>
      <c r="X6" s="300" t="s">
        <v>209</v>
      </c>
      <c r="Y6" s="300" t="s">
        <v>316</v>
      </c>
      <c r="Z6" s="300" t="s">
        <v>317</v>
      </c>
      <c r="AA6" s="330" t="s">
        <v>120</v>
      </c>
      <c r="AB6" s="330" t="s">
        <v>120</v>
      </c>
      <c r="AC6" s="330" t="s">
        <v>120</v>
      </c>
      <c r="AD6" s="300">
        <v>1</v>
      </c>
      <c r="AE6" s="300" t="s">
        <v>120</v>
      </c>
      <c r="AF6" s="300" t="s">
        <v>120</v>
      </c>
      <c r="AG6" s="300" t="s">
        <v>121</v>
      </c>
      <c r="AH6" s="303" t="s">
        <v>312</v>
      </c>
      <c r="AI6" s="301" t="s">
        <v>83</v>
      </c>
      <c r="AJ6" s="301" t="s">
        <v>286</v>
      </c>
      <c r="AK6" s="301" t="s">
        <v>83</v>
      </c>
      <c r="AL6" s="307" t="s">
        <v>314</v>
      </c>
      <c r="AM6" s="301" t="s">
        <v>288</v>
      </c>
      <c r="AN6" s="311" t="s">
        <v>83</v>
      </c>
      <c r="AO6" s="307" t="s">
        <v>290</v>
      </c>
      <c r="AP6" s="307" t="s">
        <v>83</v>
      </c>
      <c r="AQ6" s="307" t="s">
        <v>315</v>
      </c>
      <c r="AR6" s="307" t="s">
        <v>293</v>
      </c>
      <c r="AS6" s="307" t="s">
        <v>83</v>
      </c>
      <c r="AT6" s="311" t="s">
        <v>91</v>
      </c>
      <c r="AU6" s="333" t="s">
        <v>26</v>
      </c>
      <c r="AV6" s="364" t="str">
        <f t="shared" si="0"/>
        <v>Config - 13, UHF x C Link, UHF LNA-1, UHF DA-1, Ch EPC - M, DP IP port - 1, Ch Card - M1, Router - M, CDU - M, Sy EPC - M, DP OP port - 1, Sy Card - M, UHF x C U/C - 1, UHF x C C SSPA - 1</v>
      </c>
      <c r="AW6" s="71"/>
      <c r="AX6" s="71"/>
      <c r="AY6" s="71"/>
      <c r="AZ6" s="71"/>
      <c r="BA6" s="71"/>
      <c r="BB6" s="71"/>
      <c r="BC6" s="71"/>
      <c r="BD6" s="71"/>
      <c r="BE6" s="71"/>
    </row>
    <row r="7" spans="1:57" ht="56.25" x14ac:dyDescent="0.25">
      <c r="A7" s="287">
        <v>14</v>
      </c>
      <c r="B7" s="330">
        <v>14</v>
      </c>
      <c r="C7" s="331">
        <v>292.04296900000003</v>
      </c>
      <c r="D7" s="331">
        <v>4165.0429690000001</v>
      </c>
      <c r="E7" s="365">
        <v>5</v>
      </c>
      <c r="F7" s="311"/>
      <c r="G7" s="311" t="s">
        <v>253</v>
      </c>
      <c r="H7" s="307" t="s">
        <v>254</v>
      </c>
      <c r="I7" s="311" t="s">
        <v>83</v>
      </c>
      <c r="J7" s="311" t="s">
        <v>295</v>
      </c>
      <c r="K7" s="307" t="s">
        <v>256</v>
      </c>
      <c r="L7" s="311" t="s">
        <v>83</v>
      </c>
      <c r="M7" s="301" t="s">
        <v>258</v>
      </c>
      <c r="N7" s="311" t="s">
        <v>83</v>
      </c>
      <c r="O7" s="300" t="s">
        <v>302</v>
      </c>
      <c r="P7" s="300" t="s">
        <v>251</v>
      </c>
      <c r="Q7" s="336" t="s">
        <v>296</v>
      </c>
      <c r="R7" s="300" t="s">
        <v>311</v>
      </c>
      <c r="S7" s="300" t="s">
        <v>63</v>
      </c>
      <c r="T7" s="366" t="s">
        <v>331</v>
      </c>
      <c r="U7" s="300">
        <v>1</v>
      </c>
      <c r="V7" s="330" t="s">
        <v>120</v>
      </c>
      <c r="W7" s="300">
        <v>1</v>
      </c>
      <c r="X7" s="300" t="s">
        <v>209</v>
      </c>
      <c r="Y7" s="300" t="s">
        <v>316</v>
      </c>
      <c r="Z7" s="300" t="s">
        <v>317</v>
      </c>
      <c r="AA7" s="330" t="s">
        <v>120</v>
      </c>
      <c r="AB7" s="330" t="s">
        <v>120</v>
      </c>
      <c r="AC7" s="330" t="s">
        <v>120</v>
      </c>
      <c r="AD7" s="300">
        <v>1</v>
      </c>
      <c r="AE7" s="300" t="s">
        <v>120</v>
      </c>
      <c r="AF7" s="300" t="s">
        <v>120</v>
      </c>
      <c r="AG7" s="300" t="s">
        <v>121</v>
      </c>
      <c r="AH7" s="303" t="s">
        <v>312</v>
      </c>
      <c r="AI7" s="301" t="s">
        <v>83</v>
      </c>
      <c r="AJ7" s="301" t="s">
        <v>286</v>
      </c>
      <c r="AK7" s="301" t="s">
        <v>83</v>
      </c>
      <c r="AL7" s="307" t="s">
        <v>314</v>
      </c>
      <c r="AM7" s="301" t="s">
        <v>288</v>
      </c>
      <c r="AN7" s="311" t="s">
        <v>83</v>
      </c>
      <c r="AO7" s="307" t="s">
        <v>290</v>
      </c>
      <c r="AP7" s="307" t="s">
        <v>83</v>
      </c>
      <c r="AQ7" s="307" t="s">
        <v>315</v>
      </c>
      <c r="AR7" s="307" t="s">
        <v>293</v>
      </c>
      <c r="AS7" s="307" t="s">
        <v>83</v>
      </c>
      <c r="AT7" s="311" t="s">
        <v>91</v>
      </c>
      <c r="AU7" s="333" t="s">
        <v>26</v>
      </c>
      <c r="AV7" s="364" t="str">
        <f t="shared" si="0"/>
        <v>Config - 14, UHF x C Link, UHF LNA-1, UHF DA-1, Ch EPC - M, DP IP port - 1, Ch Card - M1, Router - M, CDU - M, Sy EPC - M, DP OP port - 1, Sy Card - M, UHF x C U/C - 1, UHF x C C SSPA - 1</v>
      </c>
      <c r="AW7" s="71"/>
      <c r="AX7" s="71"/>
      <c r="AY7" s="71"/>
      <c r="AZ7" s="71"/>
      <c r="BA7" s="71"/>
      <c r="BB7" s="71"/>
      <c r="BC7" s="71"/>
      <c r="BD7" s="71"/>
      <c r="BE7" s="71"/>
    </row>
    <row r="8" spans="1:57" ht="56.25" x14ac:dyDescent="0.25">
      <c r="A8" s="287">
        <v>15</v>
      </c>
      <c r="B8" s="330">
        <v>15</v>
      </c>
      <c r="C8" s="331">
        <v>296.83984400000003</v>
      </c>
      <c r="D8" s="331">
        <v>4169.8398440000001</v>
      </c>
      <c r="E8" s="365">
        <v>25</v>
      </c>
      <c r="F8" s="311"/>
      <c r="G8" s="311" t="s">
        <v>253</v>
      </c>
      <c r="H8" s="307" t="s">
        <v>254</v>
      </c>
      <c r="I8" s="311" t="s">
        <v>83</v>
      </c>
      <c r="J8" s="311" t="s">
        <v>295</v>
      </c>
      <c r="K8" s="307" t="s">
        <v>256</v>
      </c>
      <c r="L8" s="311" t="s">
        <v>83</v>
      </c>
      <c r="M8" s="301" t="s">
        <v>258</v>
      </c>
      <c r="N8" s="311" t="s">
        <v>83</v>
      </c>
      <c r="O8" s="317" t="s">
        <v>303</v>
      </c>
      <c r="P8" s="317" t="s">
        <v>63</v>
      </c>
      <c r="Q8" s="332" t="s">
        <v>297</v>
      </c>
      <c r="R8" s="317" t="s">
        <v>307</v>
      </c>
      <c r="S8" s="317" t="s">
        <v>63</v>
      </c>
      <c r="T8" s="366" t="s">
        <v>331</v>
      </c>
      <c r="U8" s="317">
        <v>1</v>
      </c>
      <c r="V8" s="330" t="s">
        <v>120</v>
      </c>
      <c r="W8" s="317">
        <v>2</v>
      </c>
      <c r="X8" s="317" t="s">
        <v>209</v>
      </c>
      <c r="Y8" s="317" t="s">
        <v>316</v>
      </c>
      <c r="Z8" s="317" t="s">
        <v>317</v>
      </c>
      <c r="AA8" s="330" t="s">
        <v>120</v>
      </c>
      <c r="AB8" s="330" t="s">
        <v>120</v>
      </c>
      <c r="AC8" s="330" t="s">
        <v>120</v>
      </c>
      <c r="AD8" s="317">
        <v>1</v>
      </c>
      <c r="AE8" s="317" t="s">
        <v>120</v>
      </c>
      <c r="AF8" s="317" t="s">
        <v>120</v>
      </c>
      <c r="AG8" s="317" t="s">
        <v>121</v>
      </c>
      <c r="AH8" s="303" t="s">
        <v>312</v>
      </c>
      <c r="AI8" s="301" t="s">
        <v>83</v>
      </c>
      <c r="AJ8" s="301" t="s">
        <v>286</v>
      </c>
      <c r="AK8" s="301" t="s">
        <v>83</v>
      </c>
      <c r="AL8" s="307" t="s">
        <v>314</v>
      </c>
      <c r="AM8" s="301" t="s">
        <v>288</v>
      </c>
      <c r="AN8" s="311" t="s">
        <v>83</v>
      </c>
      <c r="AO8" s="307" t="s">
        <v>290</v>
      </c>
      <c r="AP8" s="307" t="s">
        <v>83</v>
      </c>
      <c r="AQ8" s="307" t="s">
        <v>315</v>
      </c>
      <c r="AR8" s="307" t="s">
        <v>293</v>
      </c>
      <c r="AS8" s="307" t="s">
        <v>83</v>
      </c>
      <c r="AT8" s="311" t="s">
        <v>91</v>
      </c>
      <c r="AU8" s="333" t="s">
        <v>26</v>
      </c>
      <c r="AV8" s="364" t="str">
        <f t="shared" si="0"/>
        <v>Config - 15, UHF x C Link, UHF LNA-1, UHF DA-2, Ch EPC - M, DP IP port - 2, Ch Card - M1, Router - M, CDU - M, Sy EPC - M, DP OP port - 1, Sy Card - M, UHF x C U/C - 1, UHF x C C SSPA - 1</v>
      </c>
      <c r="AW8" s="71"/>
      <c r="AX8" s="71"/>
      <c r="AY8" s="71"/>
      <c r="AZ8" s="71"/>
      <c r="BA8" s="71"/>
      <c r="BB8" s="71"/>
      <c r="BC8" s="71"/>
      <c r="BD8" s="71"/>
      <c r="BE8" s="71"/>
    </row>
    <row r="9" spans="1:57" ht="56.25" x14ac:dyDescent="0.25">
      <c r="A9" s="287">
        <v>16</v>
      </c>
      <c r="B9" s="330">
        <v>16</v>
      </c>
      <c r="C9" s="331">
        <v>306.09843699999999</v>
      </c>
      <c r="D9" s="331">
        <v>4179.098438</v>
      </c>
      <c r="E9" s="365">
        <v>5</v>
      </c>
      <c r="F9" s="311"/>
      <c r="G9" s="311" t="s">
        <v>253</v>
      </c>
      <c r="H9" s="307" t="s">
        <v>254</v>
      </c>
      <c r="I9" s="311" t="s">
        <v>83</v>
      </c>
      <c r="J9" s="311" t="s">
        <v>295</v>
      </c>
      <c r="K9" s="307" t="s">
        <v>256</v>
      </c>
      <c r="L9" s="311" t="s">
        <v>83</v>
      </c>
      <c r="M9" s="301" t="s">
        <v>258</v>
      </c>
      <c r="N9" s="311" t="s">
        <v>83</v>
      </c>
      <c r="O9" s="315" t="s">
        <v>304</v>
      </c>
      <c r="P9" s="315" t="s">
        <v>63</v>
      </c>
      <c r="Q9" s="367" t="s">
        <v>299</v>
      </c>
      <c r="R9" s="315" t="s">
        <v>308</v>
      </c>
      <c r="S9" s="315" t="s">
        <v>63</v>
      </c>
      <c r="T9" s="366" t="s">
        <v>331</v>
      </c>
      <c r="U9" s="315">
        <v>1</v>
      </c>
      <c r="V9" s="330" t="s">
        <v>120</v>
      </c>
      <c r="W9" s="315">
        <v>4</v>
      </c>
      <c r="X9" s="315" t="s">
        <v>137</v>
      </c>
      <c r="Y9" s="315" t="s">
        <v>316</v>
      </c>
      <c r="Z9" s="315" t="s">
        <v>317</v>
      </c>
      <c r="AA9" s="330" t="s">
        <v>120</v>
      </c>
      <c r="AB9" s="330" t="s">
        <v>120</v>
      </c>
      <c r="AC9" s="330" t="s">
        <v>120</v>
      </c>
      <c r="AD9" s="315">
        <v>1</v>
      </c>
      <c r="AE9" s="315" t="s">
        <v>120</v>
      </c>
      <c r="AF9" s="315" t="s">
        <v>120</v>
      </c>
      <c r="AG9" s="315" t="s">
        <v>121</v>
      </c>
      <c r="AH9" s="303" t="s">
        <v>312</v>
      </c>
      <c r="AI9" s="301" t="s">
        <v>83</v>
      </c>
      <c r="AJ9" s="301" t="s">
        <v>286</v>
      </c>
      <c r="AK9" s="301" t="s">
        <v>83</v>
      </c>
      <c r="AL9" s="307" t="s">
        <v>314</v>
      </c>
      <c r="AM9" s="301" t="s">
        <v>288</v>
      </c>
      <c r="AN9" s="311" t="s">
        <v>83</v>
      </c>
      <c r="AO9" s="307" t="s">
        <v>290</v>
      </c>
      <c r="AP9" s="307" t="s">
        <v>83</v>
      </c>
      <c r="AQ9" s="307" t="s">
        <v>315</v>
      </c>
      <c r="AR9" s="307" t="s">
        <v>293</v>
      </c>
      <c r="AS9" s="307" t="s">
        <v>83</v>
      </c>
      <c r="AT9" s="311" t="s">
        <v>91</v>
      </c>
      <c r="AU9" s="333" t="s">
        <v>26</v>
      </c>
      <c r="AV9" s="364" t="str">
        <f t="shared" si="0"/>
        <v>Config - 16, UHF x C Link, UHF LNA-1, UHF DA-4, Ch EPC - M, DP IP port - 4, Ch Card - M2, Router - M, CDU - M, Sy EPC - M, DP OP port - 1, Sy Card - M, UHF x C U/C - 1, UHF x C C SSPA - 1</v>
      </c>
      <c r="AW9" s="71"/>
      <c r="AX9" s="71"/>
      <c r="AY9" s="71"/>
      <c r="AZ9" s="71"/>
      <c r="BA9" s="71"/>
      <c r="BB9" s="71"/>
      <c r="BC9" s="71"/>
      <c r="BD9" s="71"/>
      <c r="BE9" s="71"/>
    </row>
    <row r="10" spans="1:57" ht="56.25" x14ac:dyDescent="0.25">
      <c r="A10" s="287">
        <v>17</v>
      </c>
      <c r="B10" s="330">
        <v>17</v>
      </c>
      <c r="C10" s="331">
        <v>306.11874999999998</v>
      </c>
      <c r="D10" s="331">
        <v>4179.1187499999996</v>
      </c>
      <c r="E10" s="365">
        <v>5</v>
      </c>
      <c r="F10" s="311"/>
      <c r="G10" s="311" t="s">
        <v>253</v>
      </c>
      <c r="H10" s="307" t="s">
        <v>254</v>
      </c>
      <c r="I10" s="311" t="s">
        <v>83</v>
      </c>
      <c r="J10" s="311" t="s">
        <v>295</v>
      </c>
      <c r="K10" s="307" t="s">
        <v>256</v>
      </c>
      <c r="L10" s="311" t="s">
        <v>83</v>
      </c>
      <c r="M10" s="301" t="s">
        <v>258</v>
      </c>
      <c r="N10" s="311" t="s">
        <v>83</v>
      </c>
      <c r="O10" s="315" t="s">
        <v>304</v>
      </c>
      <c r="P10" s="315" t="s">
        <v>63</v>
      </c>
      <c r="Q10" s="367" t="s">
        <v>299</v>
      </c>
      <c r="R10" s="315" t="s">
        <v>308</v>
      </c>
      <c r="S10" s="315" t="s">
        <v>63</v>
      </c>
      <c r="T10" s="366" t="s">
        <v>331</v>
      </c>
      <c r="U10" s="315">
        <v>1</v>
      </c>
      <c r="V10" s="330" t="s">
        <v>120</v>
      </c>
      <c r="W10" s="315">
        <v>4</v>
      </c>
      <c r="X10" s="315" t="s">
        <v>137</v>
      </c>
      <c r="Y10" s="315" t="s">
        <v>316</v>
      </c>
      <c r="Z10" s="315" t="s">
        <v>317</v>
      </c>
      <c r="AA10" s="330" t="s">
        <v>120</v>
      </c>
      <c r="AB10" s="330" t="s">
        <v>120</v>
      </c>
      <c r="AC10" s="330" t="s">
        <v>120</v>
      </c>
      <c r="AD10" s="315">
        <v>1</v>
      </c>
      <c r="AE10" s="315" t="s">
        <v>120</v>
      </c>
      <c r="AF10" s="315" t="s">
        <v>120</v>
      </c>
      <c r="AG10" s="315" t="s">
        <v>121</v>
      </c>
      <c r="AH10" s="303" t="s">
        <v>312</v>
      </c>
      <c r="AI10" s="301" t="s">
        <v>83</v>
      </c>
      <c r="AJ10" s="301" t="s">
        <v>286</v>
      </c>
      <c r="AK10" s="301" t="s">
        <v>83</v>
      </c>
      <c r="AL10" s="307" t="s">
        <v>314</v>
      </c>
      <c r="AM10" s="301" t="s">
        <v>288</v>
      </c>
      <c r="AN10" s="311" t="s">
        <v>83</v>
      </c>
      <c r="AO10" s="307" t="s">
        <v>290</v>
      </c>
      <c r="AP10" s="307" t="s">
        <v>83</v>
      </c>
      <c r="AQ10" s="307" t="s">
        <v>315</v>
      </c>
      <c r="AR10" s="307" t="s">
        <v>293</v>
      </c>
      <c r="AS10" s="307" t="s">
        <v>83</v>
      </c>
      <c r="AT10" s="311" t="s">
        <v>91</v>
      </c>
      <c r="AU10" s="333" t="s">
        <v>26</v>
      </c>
      <c r="AV10" s="364" t="str">
        <f t="shared" si="0"/>
        <v>Config - 17, UHF x C Link, UHF LNA-1, UHF DA-4, Ch EPC - M, DP IP port - 4, Ch Card - M2, Router - M, CDU - M, Sy EPC - M, DP OP port - 1, Sy Card - M, UHF x C U/C - 1, UHF x C C SSPA - 1</v>
      </c>
      <c r="AW10" s="71"/>
      <c r="AX10" s="71"/>
      <c r="AY10" s="71"/>
      <c r="AZ10" s="71"/>
      <c r="BA10" s="71"/>
      <c r="BB10" s="71"/>
      <c r="BC10" s="71"/>
      <c r="BD10" s="71"/>
      <c r="BE10" s="71"/>
    </row>
    <row r="11" spans="1:57" ht="56.25" x14ac:dyDescent="0.25">
      <c r="A11" s="287">
        <v>18</v>
      </c>
      <c r="B11" s="330">
        <v>18</v>
      </c>
      <c r="C11" s="331">
        <v>306.13906200000002</v>
      </c>
      <c r="D11" s="331">
        <v>4179.1390629999996</v>
      </c>
      <c r="E11" s="365">
        <v>5</v>
      </c>
      <c r="F11" s="311"/>
      <c r="G11" s="311" t="s">
        <v>253</v>
      </c>
      <c r="H11" s="307" t="s">
        <v>254</v>
      </c>
      <c r="I11" s="311" t="s">
        <v>83</v>
      </c>
      <c r="J11" s="311" t="s">
        <v>295</v>
      </c>
      <c r="K11" s="307" t="s">
        <v>256</v>
      </c>
      <c r="L11" s="311" t="s">
        <v>83</v>
      </c>
      <c r="M11" s="301" t="s">
        <v>258</v>
      </c>
      <c r="N11" s="311" t="s">
        <v>83</v>
      </c>
      <c r="O11" s="315" t="s">
        <v>304</v>
      </c>
      <c r="P11" s="315" t="s">
        <v>63</v>
      </c>
      <c r="Q11" s="367" t="s">
        <v>299</v>
      </c>
      <c r="R11" s="315" t="s">
        <v>308</v>
      </c>
      <c r="S11" s="315" t="s">
        <v>63</v>
      </c>
      <c r="T11" s="366" t="s">
        <v>331</v>
      </c>
      <c r="U11" s="315">
        <v>1</v>
      </c>
      <c r="V11" s="330" t="s">
        <v>120</v>
      </c>
      <c r="W11" s="315">
        <v>4</v>
      </c>
      <c r="X11" s="315" t="s">
        <v>137</v>
      </c>
      <c r="Y11" s="315" t="s">
        <v>316</v>
      </c>
      <c r="Z11" s="315" t="s">
        <v>317</v>
      </c>
      <c r="AA11" s="330" t="s">
        <v>120</v>
      </c>
      <c r="AB11" s="330" t="s">
        <v>120</v>
      </c>
      <c r="AC11" s="330" t="s">
        <v>120</v>
      </c>
      <c r="AD11" s="315">
        <v>1</v>
      </c>
      <c r="AE11" s="315" t="s">
        <v>120</v>
      </c>
      <c r="AF11" s="315" t="s">
        <v>120</v>
      </c>
      <c r="AG11" s="315" t="s">
        <v>121</v>
      </c>
      <c r="AH11" s="303" t="s">
        <v>312</v>
      </c>
      <c r="AI11" s="301" t="s">
        <v>83</v>
      </c>
      <c r="AJ11" s="301" t="s">
        <v>286</v>
      </c>
      <c r="AK11" s="301" t="s">
        <v>83</v>
      </c>
      <c r="AL11" s="307" t="s">
        <v>314</v>
      </c>
      <c r="AM11" s="301" t="s">
        <v>288</v>
      </c>
      <c r="AN11" s="311" t="s">
        <v>83</v>
      </c>
      <c r="AO11" s="307" t="s">
        <v>290</v>
      </c>
      <c r="AP11" s="307" t="s">
        <v>83</v>
      </c>
      <c r="AQ11" s="307" t="s">
        <v>315</v>
      </c>
      <c r="AR11" s="307" t="s">
        <v>293</v>
      </c>
      <c r="AS11" s="307" t="s">
        <v>83</v>
      </c>
      <c r="AT11" s="311" t="s">
        <v>91</v>
      </c>
      <c r="AU11" s="333" t="s">
        <v>26</v>
      </c>
      <c r="AV11" s="364" t="str">
        <f t="shared" si="0"/>
        <v>Config - 18, UHF x C Link, UHF LNA-1, UHF DA-4, Ch EPC - M, DP IP port - 4, Ch Card - M2, Router - M, CDU - M, Sy EPC - M, DP OP port - 1, Sy Card - M, UHF x C U/C - 1, UHF x C C SSPA - 1</v>
      </c>
      <c r="AW11" s="71"/>
      <c r="AX11" s="71"/>
      <c r="AY11" s="71"/>
      <c r="AZ11" s="71"/>
      <c r="BA11" s="71"/>
      <c r="BB11" s="71"/>
      <c r="BC11" s="71"/>
      <c r="BD11" s="71"/>
      <c r="BE11" s="71"/>
    </row>
    <row r="12" spans="1:57" ht="56.25" x14ac:dyDescent="0.25">
      <c r="A12" s="287">
        <v>19</v>
      </c>
      <c r="B12" s="330">
        <v>19</v>
      </c>
      <c r="C12" s="331">
        <v>306.15937500000001</v>
      </c>
      <c r="D12" s="331">
        <v>4179.1593750000002</v>
      </c>
      <c r="E12" s="365">
        <v>5</v>
      </c>
      <c r="F12" s="311"/>
      <c r="G12" s="311" t="s">
        <v>253</v>
      </c>
      <c r="H12" s="307" t="s">
        <v>254</v>
      </c>
      <c r="I12" s="311" t="s">
        <v>83</v>
      </c>
      <c r="J12" s="311" t="s">
        <v>295</v>
      </c>
      <c r="K12" s="307" t="s">
        <v>256</v>
      </c>
      <c r="L12" s="311" t="s">
        <v>83</v>
      </c>
      <c r="M12" s="301" t="s">
        <v>258</v>
      </c>
      <c r="N12" s="311" t="s">
        <v>83</v>
      </c>
      <c r="O12" s="315" t="s">
        <v>304</v>
      </c>
      <c r="P12" s="315" t="s">
        <v>63</v>
      </c>
      <c r="Q12" s="367" t="s">
        <v>299</v>
      </c>
      <c r="R12" s="315" t="s">
        <v>308</v>
      </c>
      <c r="S12" s="315" t="s">
        <v>63</v>
      </c>
      <c r="T12" s="366" t="s">
        <v>331</v>
      </c>
      <c r="U12" s="315">
        <v>1</v>
      </c>
      <c r="V12" s="330" t="s">
        <v>120</v>
      </c>
      <c r="W12" s="315">
        <v>4</v>
      </c>
      <c r="X12" s="315" t="s">
        <v>137</v>
      </c>
      <c r="Y12" s="315" t="s">
        <v>316</v>
      </c>
      <c r="Z12" s="315" t="s">
        <v>317</v>
      </c>
      <c r="AA12" s="330" t="s">
        <v>120</v>
      </c>
      <c r="AB12" s="330" t="s">
        <v>120</v>
      </c>
      <c r="AC12" s="330" t="s">
        <v>120</v>
      </c>
      <c r="AD12" s="315">
        <v>1</v>
      </c>
      <c r="AE12" s="315" t="s">
        <v>120</v>
      </c>
      <c r="AF12" s="315" t="s">
        <v>120</v>
      </c>
      <c r="AG12" s="315" t="s">
        <v>121</v>
      </c>
      <c r="AH12" s="303" t="s">
        <v>312</v>
      </c>
      <c r="AI12" s="301" t="s">
        <v>83</v>
      </c>
      <c r="AJ12" s="301" t="s">
        <v>286</v>
      </c>
      <c r="AK12" s="301" t="s">
        <v>83</v>
      </c>
      <c r="AL12" s="307" t="s">
        <v>314</v>
      </c>
      <c r="AM12" s="301" t="s">
        <v>288</v>
      </c>
      <c r="AN12" s="311" t="s">
        <v>83</v>
      </c>
      <c r="AO12" s="307" t="s">
        <v>290</v>
      </c>
      <c r="AP12" s="307" t="s">
        <v>83</v>
      </c>
      <c r="AQ12" s="307" t="s">
        <v>315</v>
      </c>
      <c r="AR12" s="307" t="s">
        <v>293</v>
      </c>
      <c r="AS12" s="307" t="s">
        <v>83</v>
      </c>
      <c r="AT12" s="311" t="s">
        <v>91</v>
      </c>
      <c r="AU12" s="333" t="s">
        <v>26</v>
      </c>
      <c r="AV12" s="364" t="str">
        <f t="shared" si="0"/>
        <v>Config - 19, UHF x C Link, UHF LNA-1, UHF DA-4, Ch EPC - M, DP IP port - 4, Ch Card - M2, Router - M, CDU - M, Sy EPC - M, DP OP port - 1, Sy Card - M, UHF x C U/C - 1, UHF x C C SSPA - 1</v>
      </c>
      <c r="AW12" s="71"/>
      <c r="AX12" s="71"/>
      <c r="AY12" s="71"/>
      <c r="AZ12" s="71"/>
      <c r="BA12" s="71"/>
      <c r="BB12" s="71"/>
      <c r="BC12" s="71"/>
      <c r="BD12" s="71"/>
      <c r="BE12" s="71"/>
    </row>
    <row r="13" spans="1:57" ht="57" thickBot="1" x14ac:dyDescent="0.3">
      <c r="A13" s="368">
        <v>20</v>
      </c>
      <c r="B13" s="369">
        <v>20</v>
      </c>
      <c r="C13" s="370">
        <v>306.179687</v>
      </c>
      <c r="D13" s="370">
        <v>4179.1796880000002</v>
      </c>
      <c r="E13" s="371">
        <v>5</v>
      </c>
      <c r="F13" s="372"/>
      <c r="G13" s="372" t="s">
        <v>253</v>
      </c>
      <c r="H13" s="373" t="s">
        <v>254</v>
      </c>
      <c r="I13" s="372" t="s">
        <v>83</v>
      </c>
      <c r="J13" s="372" t="s">
        <v>295</v>
      </c>
      <c r="K13" s="373" t="s">
        <v>256</v>
      </c>
      <c r="L13" s="372" t="s">
        <v>83</v>
      </c>
      <c r="M13" s="374" t="s">
        <v>258</v>
      </c>
      <c r="N13" s="372" t="s">
        <v>83</v>
      </c>
      <c r="O13" s="375" t="s">
        <v>304</v>
      </c>
      <c r="P13" s="375" t="s">
        <v>63</v>
      </c>
      <c r="Q13" s="376" t="s">
        <v>299</v>
      </c>
      <c r="R13" s="375" t="s">
        <v>308</v>
      </c>
      <c r="S13" s="375" t="s">
        <v>63</v>
      </c>
      <c r="T13" s="377" t="s">
        <v>331</v>
      </c>
      <c r="U13" s="375">
        <v>1</v>
      </c>
      <c r="V13" s="369" t="s">
        <v>120</v>
      </c>
      <c r="W13" s="375">
        <v>4</v>
      </c>
      <c r="X13" s="375" t="s">
        <v>137</v>
      </c>
      <c r="Y13" s="375" t="s">
        <v>316</v>
      </c>
      <c r="Z13" s="375" t="s">
        <v>317</v>
      </c>
      <c r="AA13" s="369" t="s">
        <v>120</v>
      </c>
      <c r="AB13" s="369" t="s">
        <v>120</v>
      </c>
      <c r="AC13" s="369" t="s">
        <v>120</v>
      </c>
      <c r="AD13" s="375">
        <v>1</v>
      </c>
      <c r="AE13" s="375" t="s">
        <v>120</v>
      </c>
      <c r="AF13" s="375" t="s">
        <v>120</v>
      </c>
      <c r="AG13" s="375" t="s">
        <v>121</v>
      </c>
      <c r="AH13" s="378" t="s">
        <v>312</v>
      </c>
      <c r="AI13" s="374" t="s">
        <v>83</v>
      </c>
      <c r="AJ13" s="374" t="s">
        <v>286</v>
      </c>
      <c r="AK13" s="374" t="s">
        <v>83</v>
      </c>
      <c r="AL13" s="373" t="s">
        <v>314</v>
      </c>
      <c r="AM13" s="374" t="s">
        <v>288</v>
      </c>
      <c r="AN13" s="372" t="s">
        <v>83</v>
      </c>
      <c r="AO13" s="373" t="s">
        <v>290</v>
      </c>
      <c r="AP13" s="373" t="s">
        <v>83</v>
      </c>
      <c r="AQ13" s="373" t="s">
        <v>315</v>
      </c>
      <c r="AR13" s="373" t="s">
        <v>293</v>
      </c>
      <c r="AS13" s="373" t="s">
        <v>83</v>
      </c>
      <c r="AT13" s="372" t="s">
        <v>91</v>
      </c>
      <c r="AU13" s="379" t="s">
        <v>26</v>
      </c>
      <c r="AV13" s="364" t="str">
        <f t="shared" si="0"/>
        <v>Config - 20, UHF x C Link, UHF LNA-1, UHF DA-4, Ch EPC - M, DP IP port - 4, Ch Card - M2, Router - M, CDU - M, Sy EPC - M, DP OP port - 1, Sy Card - M, UHF x C U/C - 1, UHF x C C SSPA - 1</v>
      </c>
      <c r="AW13" s="71"/>
      <c r="AX13" s="71"/>
      <c r="AY13" s="71"/>
      <c r="AZ13" s="71"/>
      <c r="BA13" s="71"/>
      <c r="BB13" s="71"/>
      <c r="BC13" s="71"/>
      <c r="BD13" s="71"/>
      <c r="BE13" s="71"/>
    </row>
    <row r="14" spans="1:57" ht="56.25" x14ac:dyDescent="0.25">
      <c r="A14" s="321">
        <v>21</v>
      </c>
      <c r="B14" s="334">
        <v>21</v>
      </c>
      <c r="C14" s="335">
        <v>293.25156299999998</v>
      </c>
      <c r="D14" s="335">
        <v>4166.2515629999998</v>
      </c>
      <c r="E14" s="380">
        <v>25</v>
      </c>
      <c r="F14" s="324"/>
      <c r="G14" s="324" t="s">
        <v>253</v>
      </c>
      <c r="H14" s="325" t="s">
        <v>254</v>
      </c>
      <c r="I14" s="324" t="s">
        <v>83</v>
      </c>
      <c r="J14" s="324" t="s">
        <v>295</v>
      </c>
      <c r="K14" s="325" t="s">
        <v>256</v>
      </c>
      <c r="L14" s="324" t="s">
        <v>83</v>
      </c>
      <c r="M14" s="326" t="s">
        <v>258</v>
      </c>
      <c r="N14" s="324" t="s">
        <v>83</v>
      </c>
      <c r="O14" s="340" t="s">
        <v>302</v>
      </c>
      <c r="P14" s="340" t="s">
        <v>251</v>
      </c>
      <c r="Q14" s="322" t="s">
        <v>296</v>
      </c>
      <c r="R14" s="340" t="s">
        <v>311</v>
      </c>
      <c r="S14" s="340" t="s">
        <v>63</v>
      </c>
      <c r="T14" s="363" t="s">
        <v>331</v>
      </c>
      <c r="U14" s="340">
        <v>2</v>
      </c>
      <c r="V14" s="322" t="s">
        <v>120</v>
      </c>
      <c r="W14" s="340">
        <v>1</v>
      </c>
      <c r="X14" s="340" t="s">
        <v>209</v>
      </c>
      <c r="Y14" s="340" t="s">
        <v>316</v>
      </c>
      <c r="Z14" s="340" t="s">
        <v>317</v>
      </c>
      <c r="AA14" s="322" t="s">
        <v>120</v>
      </c>
      <c r="AB14" s="322" t="s">
        <v>120</v>
      </c>
      <c r="AC14" s="322" t="s">
        <v>120</v>
      </c>
      <c r="AD14" s="340">
        <v>1</v>
      </c>
      <c r="AE14" s="340" t="s">
        <v>120</v>
      </c>
      <c r="AF14" s="340" t="s">
        <v>120</v>
      </c>
      <c r="AG14" s="340" t="s">
        <v>121</v>
      </c>
      <c r="AH14" s="327" t="s">
        <v>312</v>
      </c>
      <c r="AI14" s="326" t="s">
        <v>83</v>
      </c>
      <c r="AJ14" s="326" t="s">
        <v>286</v>
      </c>
      <c r="AK14" s="326" t="s">
        <v>83</v>
      </c>
      <c r="AL14" s="325" t="s">
        <v>314</v>
      </c>
      <c r="AM14" s="326" t="s">
        <v>288</v>
      </c>
      <c r="AN14" s="324" t="s">
        <v>83</v>
      </c>
      <c r="AO14" s="325" t="s">
        <v>290</v>
      </c>
      <c r="AP14" s="325" t="s">
        <v>83</v>
      </c>
      <c r="AQ14" s="325" t="s">
        <v>315</v>
      </c>
      <c r="AR14" s="325" t="s">
        <v>293</v>
      </c>
      <c r="AS14" s="325" t="s">
        <v>83</v>
      </c>
      <c r="AT14" s="324" t="s">
        <v>91</v>
      </c>
      <c r="AU14" s="329" t="s">
        <v>26</v>
      </c>
      <c r="AV14" s="364" t="str">
        <f t="shared" si="0"/>
        <v>Config - 21, UHF x C Link, UHF LNA-1, UHF DA-1, Ch EPC - M, DP IP port - 1, Ch Card - M1, Router - M, CDU - M, Sy EPC - M, DP OP port - 1, Sy Card - M, UHF x C U/C - 1, UHF x C C SSPA - 1</v>
      </c>
      <c r="AW14" s="71"/>
      <c r="AX14" s="71"/>
      <c r="AY14" s="71"/>
      <c r="AZ14" s="71"/>
      <c r="BA14" s="71"/>
      <c r="BB14" s="71"/>
      <c r="BC14" s="71"/>
      <c r="BD14" s="71"/>
      <c r="BE14" s="71"/>
    </row>
    <row r="15" spans="1:57" ht="56.25" x14ac:dyDescent="0.25">
      <c r="A15" s="287">
        <v>22</v>
      </c>
      <c r="B15" s="336">
        <v>22</v>
      </c>
      <c r="C15" s="337">
        <v>294.86640599999998</v>
      </c>
      <c r="D15" s="337">
        <v>4167.8664060000001</v>
      </c>
      <c r="E15" s="381">
        <v>5</v>
      </c>
      <c r="F15" s="311"/>
      <c r="G15" s="311" t="s">
        <v>253</v>
      </c>
      <c r="H15" s="307" t="s">
        <v>254</v>
      </c>
      <c r="I15" s="311" t="s">
        <v>83</v>
      </c>
      <c r="J15" s="311" t="s">
        <v>295</v>
      </c>
      <c r="K15" s="307" t="s">
        <v>256</v>
      </c>
      <c r="L15" s="311" t="s">
        <v>83</v>
      </c>
      <c r="M15" s="301" t="s">
        <v>258</v>
      </c>
      <c r="N15" s="311" t="s">
        <v>83</v>
      </c>
      <c r="O15" s="300" t="s">
        <v>302</v>
      </c>
      <c r="P15" s="300" t="s">
        <v>251</v>
      </c>
      <c r="Q15" s="336" t="s">
        <v>296</v>
      </c>
      <c r="R15" s="300" t="s">
        <v>311</v>
      </c>
      <c r="S15" s="300" t="s">
        <v>63</v>
      </c>
      <c r="T15" s="366" t="s">
        <v>331</v>
      </c>
      <c r="U15" s="300">
        <v>2</v>
      </c>
      <c r="V15" s="330" t="s">
        <v>120</v>
      </c>
      <c r="W15" s="300">
        <v>1</v>
      </c>
      <c r="X15" s="300" t="s">
        <v>209</v>
      </c>
      <c r="Y15" s="300" t="s">
        <v>316</v>
      </c>
      <c r="Z15" s="300" t="s">
        <v>317</v>
      </c>
      <c r="AA15" s="330" t="s">
        <v>120</v>
      </c>
      <c r="AB15" s="330" t="s">
        <v>120</v>
      </c>
      <c r="AC15" s="330" t="s">
        <v>120</v>
      </c>
      <c r="AD15" s="300">
        <v>1</v>
      </c>
      <c r="AE15" s="300" t="s">
        <v>120</v>
      </c>
      <c r="AF15" s="300" t="s">
        <v>120</v>
      </c>
      <c r="AG15" s="300" t="s">
        <v>121</v>
      </c>
      <c r="AH15" s="303" t="s">
        <v>312</v>
      </c>
      <c r="AI15" s="301" t="s">
        <v>83</v>
      </c>
      <c r="AJ15" s="301" t="s">
        <v>286</v>
      </c>
      <c r="AK15" s="301" t="s">
        <v>83</v>
      </c>
      <c r="AL15" s="307" t="s">
        <v>314</v>
      </c>
      <c r="AM15" s="301" t="s">
        <v>288</v>
      </c>
      <c r="AN15" s="311" t="s">
        <v>83</v>
      </c>
      <c r="AO15" s="307" t="s">
        <v>290</v>
      </c>
      <c r="AP15" s="307" t="s">
        <v>83</v>
      </c>
      <c r="AQ15" s="307" t="s">
        <v>315</v>
      </c>
      <c r="AR15" s="307" t="s">
        <v>293</v>
      </c>
      <c r="AS15" s="307" t="s">
        <v>83</v>
      </c>
      <c r="AT15" s="311" t="s">
        <v>91</v>
      </c>
      <c r="AU15" s="333" t="s">
        <v>26</v>
      </c>
      <c r="AV15" s="364" t="str">
        <f t="shared" si="0"/>
        <v>Config - 22, UHF x C Link, UHF LNA-1, UHF DA-1, Ch EPC - M, DP IP port - 1, Ch Card - M1, Router - M, CDU - M, Sy EPC - M, DP OP port - 1, Sy Card - M, UHF x C U/C - 1, UHF x C C SSPA - 1</v>
      </c>
      <c r="AW15" s="71"/>
      <c r="AX15" s="71"/>
      <c r="AY15" s="71"/>
      <c r="AZ15" s="71"/>
      <c r="BA15" s="71"/>
      <c r="BB15" s="71"/>
      <c r="BC15" s="71"/>
      <c r="BD15" s="71"/>
      <c r="BE15" s="71"/>
    </row>
    <row r="16" spans="1:57" ht="56.25" x14ac:dyDescent="0.25">
      <c r="A16" s="287">
        <v>23</v>
      </c>
      <c r="B16" s="336">
        <v>23</v>
      </c>
      <c r="C16" s="337">
        <v>294.88671900000003</v>
      </c>
      <c r="D16" s="337">
        <v>4167.8867190000001</v>
      </c>
      <c r="E16" s="381">
        <v>5</v>
      </c>
      <c r="F16" s="311"/>
      <c r="G16" s="311" t="s">
        <v>253</v>
      </c>
      <c r="H16" s="307" t="s">
        <v>254</v>
      </c>
      <c r="I16" s="311" t="s">
        <v>83</v>
      </c>
      <c r="J16" s="311" t="s">
        <v>295</v>
      </c>
      <c r="K16" s="307" t="s">
        <v>256</v>
      </c>
      <c r="L16" s="311" t="s">
        <v>83</v>
      </c>
      <c r="M16" s="301" t="s">
        <v>258</v>
      </c>
      <c r="N16" s="311" t="s">
        <v>83</v>
      </c>
      <c r="O16" s="300" t="s">
        <v>302</v>
      </c>
      <c r="P16" s="300" t="s">
        <v>251</v>
      </c>
      <c r="Q16" s="336" t="s">
        <v>296</v>
      </c>
      <c r="R16" s="300" t="s">
        <v>311</v>
      </c>
      <c r="S16" s="300" t="s">
        <v>63</v>
      </c>
      <c r="T16" s="366" t="s">
        <v>331</v>
      </c>
      <c r="U16" s="300">
        <v>2</v>
      </c>
      <c r="V16" s="330" t="s">
        <v>120</v>
      </c>
      <c r="W16" s="300">
        <v>1</v>
      </c>
      <c r="X16" s="300" t="s">
        <v>209</v>
      </c>
      <c r="Y16" s="300" t="s">
        <v>316</v>
      </c>
      <c r="Z16" s="300" t="s">
        <v>317</v>
      </c>
      <c r="AA16" s="330" t="s">
        <v>120</v>
      </c>
      <c r="AB16" s="330" t="s">
        <v>120</v>
      </c>
      <c r="AC16" s="330" t="s">
        <v>120</v>
      </c>
      <c r="AD16" s="300">
        <v>1</v>
      </c>
      <c r="AE16" s="300" t="s">
        <v>120</v>
      </c>
      <c r="AF16" s="300" t="s">
        <v>120</v>
      </c>
      <c r="AG16" s="300" t="s">
        <v>121</v>
      </c>
      <c r="AH16" s="303" t="s">
        <v>312</v>
      </c>
      <c r="AI16" s="301" t="s">
        <v>83</v>
      </c>
      <c r="AJ16" s="301" t="s">
        <v>286</v>
      </c>
      <c r="AK16" s="301" t="s">
        <v>83</v>
      </c>
      <c r="AL16" s="307" t="s">
        <v>314</v>
      </c>
      <c r="AM16" s="301" t="s">
        <v>288</v>
      </c>
      <c r="AN16" s="311" t="s">
        <v>83</v>
      </c>
      <c r="AO16" s="307" t="s">
        <v>290</v>
      </c>
      <c r="AP16" s="307" t="s">
        <v>83</v>
      </c>
      <c r="AQ16" s="307" t="s">
        <v>315</v>
      </c>
      <c r="AR16" s="307" t="s">
        <v>293</v>
      </c>
      <c r="AS16" s="307" t="s">
        <v>83</v>
      </c>
      <c r="AT16" s="311" t="s">
        <v>91</v>
      </c>
      <c r="AU16" s="333" t="s">
        <v>26</v>
      </c>
      <c r="AV16" s="364" t="str">
        <f t="shared" si="0"/>
        <v>Config - 23, UHF x C Link, UHF LNA-1, UHF DA-1, Ch EPC - M, DP IP port - 1, Ch Card - M1, Router - M, CDU - M, Sy EPC - M, DP OP port - 1, Sy Card - M, UHF x C U/C - 1, UHF x C C SSPA - 1</v>
      </c>
      <c r="AW16" s="71"/>
      <c r="AX16" s="71"/>
      <c r="AY16" s="71"/>
      <c r="AZ16" s="71"/>
      <c r="BA16" s="71"/>
      <c r="BB16" s="71"/>
      <c r="BC16" s="71"/>
      <c r="BD16" s="71"/>
      <c r="BE16" s="71"/>
    </row>
    <row r="17" spans="1:57" ht="56.25" x14ac:dyDescent="0.25">
      <c r="A17" s="287">
        <v>24</v>
      </c>
      <c r="B17" s="336">
        <v>24</v>
      </c>
      <c r="C17" s="337">
        <v>294.90703100000002</v>
      </c>
      <c r="D17" s="337">
        <v>4167.9070309999997</v>
      </c>
      <c r="E17" s="381">
        <v>5</v>
      </c>
      <c r="F17" s="311"/>
      <c r="G17" s="311" t="s">
        <v>253</v>
      </c>
      <c r="H17" s="307" t="s">
        <v>254</v>
      </c>
      <c r="I17" s="311" t="s">
        <v>83</v>
      </c>
      <c r="J17" s="311" t="s">
        <v>295</v>
      </c>
      <c r="K17" s="307" t="s">
        <v>256</v>
      </c>
      <c r="L17" s="311" t="s">
        <v>83</v>
      </c>
      <c r="M17" s="301" t="s">
        <v>258</v>
      </c>
      <c r="N17" s="311" t="s">
        <v>83</v>
      </c>
      <c r="O17" s="300" t="s">
        <v>302</v>
      </c>
      <c r="P17" s="300" t="s">
        <v>251</v>
      </c>
      <c r="Q17" s="336" t="s">
        <v>296</v>
      </c>
      <c r="R17" s="300" t="s">
        <v>311</v>
      </c>
      <c r="S17" s="300" t="s">
        <v>63</v>
      </c>
      <c r="T17" s="366" t="s">
        <v>331</v>
      </c>
      <c r="U17" s="300">
        <v>2</v>
      </c>
      <c r="V17" s="330" t="s">
        <v>120</v>
      </c>
      <c r="W17" s="300">
        <v>1</v>
      </c>
      <c r="X17" s="300" t="s">
        <v>209</v>
      </c>
      <c r="Y17" s="300" t="s">
        <v>316</v>
      </c>
      <c r="Z17" s="300" t="s">
        <v>317</v>
      </c>
      <c r="AA17" s="330" t="s">
        <v>120</v>
      </c>
      <c r="AB17" s="330" t="s">
        <v>120</v>
      </c>
      <c r="AC17" s="330" t="s">
        <v>120</v>
      </c>
      <c r="AD17" s="300">
        <v>1</v>
      </c>
      <c r="AE17" s="300" t="s">
        <v>120</v>
      </c>
      <c r="AF17" s="300" t="s">
        <v>120</v>
      </c>
      <c r="AG17" s="300" t="s">
        <v>121</v>
      </c>
      <c r="AH17" s="303" t="s">
        <v>312</v>
      </c>
      <c r="AI17" s="301" t="s">
        <v>83</v>
      </c>
      <c r="AJ17" s="301" t="s">
        <v>286</v>
      </c>
      <c r="AK17" s="301" t="s">
        <v>83</v>
      </c>
      <c r="AL17" s="307" t="s">
        <v>314</v>
      </c>
      <c r="AM17" s="301" t="s">
        <v>288</v>
      </c>
      <c r="AN17" s="311" t="s">
        <v>83</v>
      </c>
      <c r="AO17" s="307" t="s">
        <v>290</v>
      </c>
      <c r="AP17" s="307" t="s">
        <v>83</v>
      </c>
      <c r="AQ17" s="307" t="s">
        <v>315</v>
      </c>
      <c r="AR17" s="307" t="s">
        <v>293</v>
      </c>
      <c r="AS17" s="307" t="s">
        <v>83</v>
      </c>
      <c r="AT17" s="311" t="s">
        <v>91</v>
      </c>
      <c r="AU17" s="333" t="s">
        <v>26</v>
      </c>
      <c r="AV17" s="364" t="str">
        <f t="shared" si="0"/>
        <v>Config - 24, UHF x C Link, UHF LNA-1, UHF DA-1, Ch EPC - M, DP IP port - 1, Ch Card - M1, Router - M, CDU - M, Sy EPC - M, DP OP port - 1, Sy Card - M, UHF x C U/C - 1, UHF x C C SSPA - 1</v>
      </c>
      <c r="AW17" s="71"/>
      <c r="AX17" s="71"/>
      <c r="AY17" s="71"/>
      <c r="AZ17" s="71"/>
      <c r="BA17" s="71"/>
      <c r="BB17" s="71"/>
      <c r="BC17" s="71"/>
      <c r="BD17" s="71"/>
      <c r="BE17" s="71"/>
    </row>
    <row r="18" spans="1:57" ht="56.25" x14ac:dyDescent="0.25">
      <c r="A18" s="287">
        <v>25</v>
      </c>
      <c r="B18" s="336">
        <v>25</v>
      </c>
      <c r="C18" s="337">
        <v>294.92734400000001</v>
      </c>
      <c r="D18" s="337">
        <v>4167.9273439999997</v>
      </c>
      <c r="E18" s="381">
        <v>5</v>
      </c>
      <c r="F18" s="311"/>
      <c r="G18" s="311" t="s">
        <v>253</v>
      </c>
      <c r="H18" s="307" t="s">
        <v>254</v>
      </c>
      <c r="I18" s="311" t="s">
        <v>83</v>
      </c>
      <c r="J18" s="311" t="s">
        <v>295</v>
      </c>
      <c r="K18" s="307" t="s">
        <v>256</v>
      </c>
      <c r="L18" s="311" t="s">
        <v>83</v>
      </c>
      <c r="M18" s="301" t="s">
        <v>258</v>
      </c>
      <c r="N18" s="311" t="s">
        <v>83</v>
      </c>
      <c r="O18" s="300" t="s">
        <v>302</v>
      </c>
      <c r="P18" s="300" t="s">
        <v>251</v>
      </c>
      <c r="Q18" s="336" t="s">
        <v>296</v>
      </c>
      <c r="R18" s="300" t="s">
        <v>311</v>
      </c>
      <c r="S18" s="300" t="s">
        <v>63</v>
      </c>
      <c r="T18" s="366" t="s">
        <v>331</v>
      </c>
      <c r="U18" s="300">
        <v>2</v>
      </c>
      <c r="V18" s="330" t="s">
        <v>120</v>
      </c>
      <c r="W18" s="300">
        <v>1</v>
      </c>
      <c r="X18" s="300" t="s">
        <v>209</v>
      </c>
      <c r="Y18" s="300" t="s">
        <v>316</v>
      </c>
      <c r="Z18" s="300" t="s">
        <v>317</v>
      </c>
      <c r="AA18" s="330" t="s">
        <v>120</v>
      </c>
      <c r="AB18" s="330" t="s">
        <v>120</v>
      </c>
      <c r="AC18" s="330" t="s">
        <v>120</v>
      </c>
      <c r="AD18" s="300">
        <v>1</v>
      </c>
      <c r="AE18" s="300" t="s">
        <v>120</v>
      </c>
      <c r="AF18" s="300" t="s">
        <v>120</v>
      </c>
      <c r="AG18" s="300" t="s">
        <v>121</v>
      </c>
      <c r="AH18" s="303" t="s">
        <v>312</v>
      </c>
      <c r="AI18" s="301" t="s">
        <v>83</v>
      </c>
      <c r="AJ18" s="301" t="s">
        <v>286</v>
      </c>
      <c r="AK18" s="301" t="s">
        <v>83</v>
      </c>
      <c r="AL18" s="307" t="s">
        <v>314</v>
      </c>
      <c r="AM18" s="301" t="s">
        <v>288</v>
      </c>
      <c r="AN18" s="311" t="s">
        <v>83</v>
      </c>
      <c r="AO18" s="307" t="s">
        <v>290</v>
      </c>
      <c r="AP18" s="307" t="s">
        <v>83</v>
      </c>
      <c r="AQ18" s="307" t="s">
        <v>315</v>
      </c>
      <c r="AR18" s="307" t="s">
        <v>293</v>
      </c>
      <c r="AS18" s="307" t="s">
        <v>83</v>
      </c>
      <c r="AT18" s="311" t="s">
        <v>91</v>
      </c>
      <c r="AU18" s="333" t="s">
        <v>26</v>
      </c>
      <c r="AV18" s="364" t="str">
        <f t="shared" si="0"/>
        <v>Config - 25, UHF x C Link, UHF LNA-1, UHF DA-1, Ch EPC - M, DP IP port - 1, Ch Card - M1, Router - M, CDU - M, Sy EPC - M, DP OP port - 1, Sy Card - M, UHF x C U/C - 1, UHF x C C SSPA - 1</v>
      </c>
      <c r="AW18" s="71"/>
      <c r="AX18" s="71"/>
      <c r="AY18" s="71"/>
      <c r="AZ18" s="71"/>
      <c r="BA18" s="71"/>
      <c r="BB18" s="71"/>
      <c r="BC18" s="71"/>
      <c r="BD18" s="71"/>
      <c r="BE18" s="71"/>
    </row>
    <row r="19" spans="1:57" ht="56.25" x14ac:dyDescent="0.25">
      <c r="A19" s="287">
        <v>26</v>
      </c>
      <c r="B19" s="336">
        <v>26</v>
      </c>
      <c r="C19" s="337">
        <v>294.94765599999999</v>
      </c>
      <c r="D19" s="337">
        <v>4167.9476560000003</v>
      </c>
      <c r="E19" s="381">
        <v>5</v>
      </c>
      <c r="F19" s="311"/>
      <c r="G19" s="311" t="s">
        <v>253</v>
      </c>
      <c r="H19" s="307" t="s">
        <v>254</v>
      </c>
      <c r="I19" s="311" t="s">
        <v>83</v>
      </c>
      <c r="J19" s="311" t="s">
        <v>295</v>
      </c>
      <c r="K19" s="307" t="s">
        <v>256</v>
      </c>
      <c r="L19" s="311" t="s">
        <v>83</v>
      </c>
      <c r="M19" s="301" t="s">
        <v>258</v>
      </c>
      <c r="N19" s="311" t="s">
        <v>83</v>
      </c>
      <c r="O19" s="300" t="s">
        <v>302</v>
      </c>
      <c r="P19" s="300" t="s">
        <v>251</v>
      </c>
      <c r="Q19" s="336" t="s">
        <v>296</v>
      </c>
      <c r="R19" s="300" t="s">
        <v>311</v>
      </c>
      <c r="S19" s="300" t="s">
        <v>63</v>
      </c>
      <c r="T19" s="366" t="s">
        <v>331</v>
      </c>
      <c r="U19" s="300">
        <v>2</v>
      </c>
      <c r="V19" s="330" t="s">
        <v>120</v>
      </c>
      <c r="W19" s="300">
        <v>1</v>
      </c>
      <c r="X19" s="300" t="s">
        <v>209</v>
      </c>
      <c r="Y19" s="300" t="s">
        <v>316</v>
      </c>
      <c r="Z19" s="300" t="s">
        <v>317</v>
      </c>
      <c r="AA19" s="330" t="s">
        <v>120</v>
      </c>
      <c r="AB19" s="330" t="s">
        <v>120</v>
      </c>
      <c r="AC19" s="330" t="s">
        <v>120</v>
      </c>
      <c r="AD19" s="300">
        <v>1</v>
      </c>
      <c r="AE19" s="300" t="s">
        <v>120</v>
      </c>
      <c r="AF19" s="300" t="s">
        <v>120</v>
      </c>
      <c r="AG19" s="300" t="s">
        <v>121</v>
      </c>
      <c r="AH19" s="303" t="s">
        <v>312</v>
      </c>
      <c r="AI19" s="301" t="s">
        <v>83</v>
      </c>
      <c r="AJ19" s="301" t="s">
        <v>286</v>
      </c>
      <c r="AK19" s="301" t="s">
        <v>83</v>
      </c>
      <c r="AL19" s="307" t="s">
        <v>314</v>
      </c>
      <c r="AM19" s="301" t="s">
        <v>288</v>
      </c>
      <c r="AN19" s="311" t="s">
        <v>83</v>
      </c>
      <c r="AO19" s="307" t="s">
        <v>290</v>
      </c>
      <c r="AP19" s="307" t="s">
        <v>83</v>
      </c>
      <c r="AQ19" s="307" t="s">
        <v>315</v>
      </c>
      <c r="AR19" s="307" t="s">
        <v>293</v>
      </c>
      <c r="AS19" s="307" t="s">
        <v>83</v>
      </c>
      <c r="AT19" s="311" t="s">
        <v>91</v>
      </c>
      <c r="AU19" s="333" t="s">
        <v>26</v>
      </c>
      <c r="AV19" s="364" t="str">
        <f t="shared" si="0"/>
        <v>Config - 26, UHF x C Link, UHF LNA-1, UHF DA-1, Ch EPC - M, DP IP port - 1, Ch Card - M1, Router - M, CDU - M, Sy EPC - M, DP OP port - 1, Sy Card - M, UHF x C U/C - 1, UHF x C C SSPA - 1</v>
      </c>
      <c r="AW19" s="71"/>
      <c r="AX19" s="71"/>
      <c r="AY19" s="71"/>
      <c r="AZ19" s="71"/>
      <c r="BA19" s="71"/>
      <c r="BB19" s="71"/>
      <c r="BC19" s="71"/>
      <c r="BD19" s="71"/>
      <c r="BE19" s="71"/>
    </row>
    <row r="20" spans="1:57" ht="56.25" x14ac:dyDescent="0.25">
      <c r="A20" s="287">
        <v>27</v>
      </c>
      <c r="B20" s="336">
        <v>27</v>
      </c>
      <c r="C20" s="337">
        <v>299.74453099999999</v>
      </c>
      <c r="D20" s="337">
        <v>4172.7445310000003</v>
      </c>
      <c r="E20" s="381">
        <v>25</v>
      </c>
      <c r="F20" s="311"/>
      <c r="G20" s="311" t="s">
        <v>253</v>
      </c>
      <c r="H20" s="307" t="s">
        <v>254</v>
      </c>
      <c r="I20" s="311" t="s">
        <v>83</v>
      </c>
      <c r="J20" s="311" t="s">
        <v>295</v>
      </c>
      <c r="K20" s="307" t="s">
        <v>256</v>
      </c>
      <c r="L20" s="311" t="s">
        <v>83</v>
      </c>
      <c r="M20" s="301" t="s">
        <v>258</v>
      </c>
      <c r="N20" s="311" t="s">
        <v>83</v>
      </c>
      <c r="O20" s="317" t="s">
        <v>303</v>
      </c>
      <c r="P20" s="317" t="s">
        <v>63</v>
      </c>
      <c r="Q20" s="332" t="s">
        <v>297</v>
      </c>
      <c r="R20" s="317" t="s">
        <v>307</v>
      </c>
      <c r="S20" s="317" t="s">
        <v>63</v>
      </c>
      <c r="T20" s="366" t="s">
        <v>331</v>
      </c>
      <c r="U20" s="317">
        <v>2</v>
      </c>
      <c r="V20" s="330" t="s">
        <v>120</v>
      </c>
      <c r="W20" s="317">
        <v>2</v>
      </c>
      <c r="X20" s="317" t="s">
        <v>209</v>
      </c>
      <c r="Y20" s="317" t="s">
        <v>316</v>
      </c>
      <c r="Z20" s="317" t="s">
        <v>317</v>
      </c>
      <c r="AA20" s="330" t="s">
        <v>120</v>
      </c>
      <c r="AB20" s="330" t="s">
        <v>120</v>
      </c>
      <c r="AC20" s="330" t="s">
        <v>120</v>
      </c>
      <c r="AD20" s="317">
        <v>1</v>
      </c>
      <c r="AE20" s="317" t="s">
        <v>120</v>
      </c>
      <c r="AF20" s="317" t="s">
        <v>120</v>
      </c>
      <c r="AG20" s="317" t="s">
        <v>121</v>
      </c>
      <c r="AH20" s="303" t="s">
        <v>312</v>
      </c>
      <c r="AI20" s="301" t="s">
        <v>83</v>
      </c>
      <c r="AJ20" s="301" t="s">
        <v>286</v>
      </c>
      <c r="AK20" s="301" t="s">
        <v>83</v>
      </c>
      <c r="AL20" s="307" t="s">
        <v>314</v>
      </c>
      <c r="AM20" s="301" t="s">
        <v>288</v>
      </c>
      <c r="AN20" s="311" t="s">
        <v>83</v>
      </c>
      <c r="AO20" s="307" t="s">
        <v>290</v>
      </c>
      <c r="AP20" s="307" t="s">
        <v>83</v>
      </c>
      <c r="AQ20" s="307" t="s">
        <v>315</v>
      </c>
      <c r="AR20" s="307" t="s">
        <v>293</v>
      </c>
      <c r="AS20" s="307" t="s">
        <v>83</v>
      </c>
      <c r="AT20" s="311" t="s">
        <v>91</v>
      </c>
      <c r="AU20" s="333" t="s">
        <v>26</v>
      </c>
      <c r="AV20" s="364" t="str">
        <f t="shared" si="0"/>
        <v>Config - 27, UHF x C Link, UHF LNA-1, UHF DA-2, Ch EPC - M, DP IP port - 2, Ch Card - M1, Router - M, CDU - M, Sy EPC - M, DP OP port - 1, Sy Card - M, UHF x C U/C - 1, UHF x C C SSPA - 1</v>
      </c>
      <c r="AW20" s="71"/>
      <c r="AX20" s="71"/>
      <c r="AY20" s="71"/>
      <c r="AZ20" s="71"/>
      <c r="BA20" s="71"/>
      <c r="BB20" s="71"/>
      <c r="BC20" s="71"/>
      <c r="BD20" s="71"/>
      <c r="BE20" s="71"/>
    </row>
    <row r="21" spans="1:57" ht="56.25" x14ac:dyDescent="0.25">
      <c r="A21" s="287">
        <v>28</v>
      </c>
      <c r="B21" s="336">
        <v>28</v>
      </c>
      <c r="C21" s="337">
        <v>309.00312500000001</v>
      </c>
      <c r="D21" s="337">
        <v>4182.0031250000002</v>
      </c>
      <c r="E21" s="381">
        <v>5</v>
      </c>
      <c r="F21" s="311"/>
      <c r="G21" s="311" t="s">
        <v>253</v>
      </c>
      <c r="H21" s="307" t="s">
        <v>254</v>
      </c>
      <c r="I21" s="311" t="s">
        <v>83</v>
      </c>
      <c r="J21" s="311" t="s">
        <v>295</v>
      </c>
      <c r="K21" s="307" t="s">
        <v>256</v>
      </c>
      <c r="L21" s="311" t="s">
        <v>83</v>
      </c>
      <c r="M21" s="301" t="s">
        <v>258</v>
      </c>
      <c r="N21" s="311" t="s">
        <v>83</v>
      </c>
      <c r="O21" s="315" t="s">
        <v>304</v>
      </c>
      <c r="P21" s="315" t="s">
        <v>63</v>
      </c>
      <c r="Q21" s="367" t="s">
        <v>299</v>
      </c>
      <c r="R21" s="315" t="s">
        <v>308</v>
      </c>
      <c r="S21" s="315" t="s">
        <v>63</v>
      </c>
      <c r="T21" s="366" t="s">
        <v>331</v>
      </c>
      <c r="U21" s="315">
        <v>2</v>
      </c>
      <c r="V21" s="330" t="s">
        <v>120</v>
      </c>
      <c r="W21" s="315">
        <v>4</v>
      </c>
      <c r="X21" s="315" t="s">
        <v>137</v>
      </c>
      <c r="Y21" s="315" t="s">
        <v>316</v>
      </c>
      <c r="Z21" s="315" t="s">
        <v>317</v>
      </c>
      <c r="AA21" s="330" t="s">
        <v>120</v>
      </c>
      <c r="AB21" s="330" t="s">
        <v>120</v>
      </c>
      <c r="AC21" s="330" t="s">
        <v>120</v>
      </c>
      <c r="AD21" s="315">
        <v>1</v>
      </c>
      <c r="AE21" s="315" t="s">
        <v>120</v>
      </c>
      <c r="AF21" s="315" t="s">
        <v>120</v>
      </c>
      <c r="AG21" s="315" t="s">
        <v>121</v>
      </c>
      <c r="AH21" s="303" t="s">
        <v>312</v>
      </c>
      <c r="AI21" s="301" t="s">
        <v>83</v>
      </c>
      <c r="AJ21" s="301" t="s">
        <v>286</v>
      </c>
      <c r="AK21" s="301" t="s">
        <v>83</v>
      </c>
      <c r="AL21" s="307" t="s">
        <v>314</v>
      </c>
      <c r="AM21" s="301" t="s">
        <v>288</v>
      </c>
      <c r="AN21" s="311" t="s">
        <v>83</v>
      </c>
      <c r="AO21" s="307" t="s">
        <v>290</v>
      </c>
      <c r="AP21" s="307" t="s">
        <v>83</v>
      </c>
      <c r="AQ21" s="307" t="s">
        <v>315</v>
      </c>
      <c r="AR21" s="307" t="s">
        <v>293</v>
      </c>
      <c r="AS21" s="307" t="s">
        <v>83</v>
      </c>
      <c r="AT21" s="311" t="s">
        <v>91</v>
      </c>
      <c r="AU21" s="333" t="s">
        <v>26</v>
      </c>
      <c r="AV21" s="364" t="str">
        <f t="shared" si="0"/>
        <v>Config - 28, UHF x C Link, UHF LNA-1, UHF DA-4, Ch EPC - M, DP IP port - 4, Ch Card - M2, Router - M, CDU - M, Sy EPC - M, DP OP port - 1, Sy Card - M, UHF x C U/C - 1, UHF x C C SSPA - 1</v>
      </c>
      <c r="AW21" s="71"/>
      <c r="AX21" s="71"/>
      <c r="AY21" s="71"/>
      <c r="AZ21" s="71"/>
      <c r="BA21" s="71"/>
      <c r="BB21" s="71"/>
      <c r="BC21" s="71"/>
      <c r="BD21" s="71"/>
      <c r="BE21" s="71"/>
    </row>
    <row r="22" spans="1:57" ht="56.25" x14ac:dyDescent="0.25">
      <c r="A22" s="287">
        <v>29</v>
      </c>
      <c r="B22" s="336">
        <v>29</v>
      </c>
      <c r="C22" s="337">
        <v>309.023438</v>
      </c>
      <c r="D22" s="337">
        <v>4182.0234380000002</v>
      </c>
      <c r="E22" s="381">
        <v>5</v>
      </c>
      <c r="F22" s="311"/>
      <c r="G22" s="311" t="s">
        <v>253</v>
      </c>
      <c r="H22" s="307" t="s">
        <v>254</v>
      </c>
      <c r="I22" s="311" t="s">
        <v>83</v>
      </c>
      <c r="J22" s="311" t="s">
        <v>295</v>
      </c>
      <c r="K22" s="307" t="s">
        <v>256</v>
      </c>
      <c r="L22" s="311" t="s">
        <v>83</v>
      </c>
      <c r="M22" s="301" t="s">
        <v>258</v>
      </c>
      <c r="N22" s="311" t="s">
        <v>83</v>
      </c>
      <c r="O22" s="315" t="s">
        <v>304</v>
      </c>
      <c r="P22" s="315" t="s">
        <v>63</v>
      </c>
      <c r="Q22" s="367" t="s">
        <v>299</v>
      </c>
      <c r="R22" s="315" t="s">
        <v>308</v>
      </c>
      <c r="S22" s="315" t="s">
        <v>63</v>
      </c>
      <c r="T22" s="366" t="s">
        <v>331</v>
      </c>
      <c r="U22" s="315">
        <v>2</v>
      </c>
      <c r="V22" s="330" t="s">
        <v>120</v>
      </c>
      <c r="W22" s="315">
        <v>4</v>
      </c>
      <c r="X22" s="315" t="s">
        <v>137</v>
      </c>
      <c r="Y22" s="315" t="s">
        <v>316</v>
      </c>
      <c r="Z22" s="315" t="s">
        <v>317</v>
      </c>
      <c r="AA22" s="330" t="s">
        <v>120</v>
      </c>
      <c r="AB22" s="330" t="s">
        <v>120</v>
      </c>
      <c r="AC22" s="330" t="s">
        <v>120</v>
      </c>
      <c r="AD22" s="315">
        <v>1</v>
      </c>
      <c r="AE22" s="315" t="s">
        <v>120</v>
      </c>
      <c r="AF22" s="315" t="s">
        <v>120</v>
      </c>
      <c r="AG22" s="315" t="s">
        <v>121</v>
      </c>
      <c r="AH22" s="303" t="s">
        <v>312</v>
      </c>
      <c r="AI22" s="301" t="s">
        <v>83</v>
      </c>
      <c r="AJ22" s="301" t="s">
        <v>286</v>
      </c>
      <c r="AK22" s="301" t="s">
        <v>83</v>
      </c>
      <c r="AL22" s="307" t="s">
        <v>314</v>
      </c>
      <c r="AM22" s="301" t="s">
        <v>288</v>
      </c>
      <c r="AN22" s="311" t="s">
        <v>83</v>
      </c>
      <c r="AO22" s="307" t="s">
        <v>290</v>
      </c>
      <c r="AP22" s="307" t="s">
        <v>83</v>
      </c>
      <c r="AQ22" s="307" t="s">
        <v>315</v>
      </c>
      <c r="AR22" s="307" t="s">
        <v>293</v>
      </c>
      <c r="AS22" s="307" t="s">
        <v>83</v>
      </c>
      <c r="AT22" s="311" t="s">
        <v>91</v>
      </c>
      <c r="AU22" s="333" t="s">
        <v>26</v>
      </c>
      <c r="AV22" s="364" t="str">
        <f t="shared" si="0"/>
        <v>Config - 29, UHF x C Link, UHF LNA-1, UHF DA-4, Ch EPC - M, DP IP port - 4, Ch Card - M2, Router - M, CDU - M, Sy EPC - M, DP OP port - 1, Sy Card - M, UHF x C U/C - 1, UHF x C C SSPA - 1</v>
      </c>
      <c r="AW22" s="71"/>
      <c r="AX22" s="71"/>
      <c r="AY22" s="71"/>
      <c r="AZ22" s="71"/>
      <c r="BA22" s="71"/>
      <c r="BB22" s="71"/>
      <c r="BC22" s="71"/>
      <c r="BD22" s="71"/>
      <c r="BE22" s="71"/>
    </row>
    <row r="23" spans="1:57" ht="56.25" x14ac:dyDescent="0.25">
      <c r="A23" s="287">
        <v>30</v>
      </c>
      <c r="B23" s="336">
        <v>30</v>
      </c>
      <c r="C23" s="337">
        <v>309.04374999999999</v>
      </c>
      <c r="D23" s="337">
        <v>4182.0437499999998</v>
      </c>
      <c r="E23" s="381">
        <v>5</v>
      </c>
      <c r="F23" s="311"/>
      <c r="G23" s="311" t="s">
        <v>253</v>
      </c>
      <c r="H23" s="307" t="s">
        <v>254</v>
      </c>
      <c r="I23" s="311" t="s">
        <v>83</v>
      </c>
      <c r="J23" s="311" t="s">
        <v>295</v>
      </c>
      <c r="K23" s="307" t="s">
        <v>256</v>
      </c>
      <c r="L23" s="311" t="s">
        <v>83</v>
      </c>
      <c r="M23" s="301" t="s">
        <v>258</v>
      </c>
      <c r="N23" s="311" t="s">
        <v>83</v>
      </c>
      <c r="O23" s="315" t="s">
        <v>304</v>
      </c>
      <c r="P23" s="315" t="s">
        <v>63</v>
      </c>
      <c r="Q23" s="367" t="s">
        <v>299</v>
      </c>
      <c r="R23" s="315" t="s">
        <v>308</v>
      </c>
      <c r="S23" s="315" t="s">
        <v>63</v>
      </c>
      <c r="T23" s="366" t="s">
        <v>331</v>
      </c>
      <c r="U23" s="315">
        <v>2</v>
      </c>
      <c r="V23" s="330" t="s">
        <v>120</v>
      </c>
      <c r="W23" s="315">
        <v>4</v>
      </c>
      <c r="X23" s="315" t="s">
        <v>137</v>
      </c>
      <c r="Y23" s="315" t="s">
        <v>316</v>
      </c>
      <c r="Z23" s="315" t="s">
        <v>317</v>
      </c>
      <c r="AA23" s="330" t="s">
        <v>120</v>
      </c>
      <c r="AB23" s="330" t="s">
        <v>120</v>
      </c>
      <c r="AC23" s="330" t="s">
        <v>120</v>
      </c>
      <c r="AD23" s="315">
        <v>1</v>
      </c>
      <c r="AE23" s="315" t="s">
        <v>120</v>
      </c>
      <c r="AF23" s="315" t="s">
        <v>120</v>
      </c>
      <c r="AG23" s="315" t="s">
        <v>121</v>
      </c>
      <c r="AH23" s="303" t="s">
        <v>312</v>
      </c>
      <c r="AI23" s="301" t="s">
        <v>83</v>
      </c>
      <c r="AJ23" s="301" t="s">
        <v>286</v>
      </c>
      <c r="AK23" s="301" t="s">
        <v>83</v>
      </c>
      <c r="AL23" s="307" t="s">
        <v>314</v>
      </c>
      <c r="AM23" s="301" t="s">
        <v>288</v>
      </c>
      <c r="AN23" s="311" t="s">
        <v>83</v>
      </c>
      <c r="AO23" s="307" t="s">
        <v>290</v>
      </c>
      <c r="AP23" s="307" t="s">
        <v>83</v>
      </c>
      <c r="AQ23" s="307" t="s">
        <v>315</v>
      </c>
      <c r="AR23" s="307" t="s">
        <v>293</v>
      </c>
      <c r="AS23" s="307" t="s">
        <v>83</v>
      </c>
      <c r="AT23" s="311" t="s">
        <v>91</v>
      </c>
      <c r="AU23" s="333" t="s">
        <v>26</v>
      </c>
      <c r="AV23" s="364" t="str">
        <f t="shared" si="0"/>
        <v>Config - 30, UHF x C Link, UHF LNA-1, UHF DA-4, Ch EPC - M, DP IP port - 4, Ch Card - M2, Router - M, CDU - M, Sy EPC - M, DP OP port - 1, Sy Card - M, UHF x C U/C - 1, UHF x C C SSPA - 1</v>
      </c>
      <c r="AW23" s="71"/>
      <c r="AX23" s="71"/>
      <c r="AY23" s="71"/>
      <c r="AZ23" s="71"/>
      <c r="BA23" s="71"/>
      <c r="BB23" s="71"/>
      <c r="BC23" s="71"/>
      <c r="BD23" s="71"/>
      <c r="BE23" s="71"/>
    </row>
    <row r="24" spans="1:57" ht="56.25" x14ac:dyDescent="0.25">
      <c r="A24" s="287">
        <v>31</v>
      </c>
      <c r="B24" s="336">
        <v>31</v>
      </c>
      <c r="C24" s="337">
        <v>309.06406299999998</v>
      </c>
      <c r="D24" s="337">
        <v>4182.0640629999998</v>
      </c>
      <c r="E24" s="381">
        <v>5</v>
      </c>
      <c r="F24" s="311"/>
      <c r="G24" s="311" t="s">
        <v>253</v>
      </c>
      <c r="H24" s="307" t="s">
        <v>254</v>
      </c>
      <c r="I24" s="311" t="s">
        <v>83</v>
      </c>
      <c r="J24" s="311" t="s">
        <v>295</v>
      </c>
      <c r="K24" s="307" t="s">
        <v>256</v>
      </c>
      <c r="L24" s="311" t="s">
        <v>83</v>
      </c>
      <c r="M24" s="301" t="s">
        <v>258</v>
      </c>
      <c r="N24" s="311" t="s">
        <v>83</v>
      </c>
      <c r="O24" s="315" t="s">
        <v>304</v>
      </c>
      <c r="P24" s="315" t="s">
        <v>63</v>
      </c>
      <c r="Q24" s="367" t="s">
        <v>299</v>
      </c>
      <c r="R24" s="315" t="s">
        <v>308</v>
      </c>
      <c r="S24" s="315" t="s">
        <v>63</v>
      </c>
      <c r="T24" s="366" t="s">
        <v>331</v>
      </c>
      <c r="U24" s="315">
        <v>2</v>
      </c>
      <c r="V24" s="330" t="s">
        <v>120</v>
      </c>
      <c r="W24" s="315">
        <v>4</v>
      </c>
      <c r="X24" s="315" t="s">
        <v>137</v>
      </c>
      <c r="Y24" s="315" t="s">
        <v>316</v>
      </c>
      <c r="Z24" s="315" t="s">
        <v>317</v>
      </c>
      <c r="AA24" s="330" t="s">
        <v>120</v>
      </c>
      <c r="AB24" s="330" t="s">
        <v>120</v>
      </c>
      <c r="AC24" s="330" t="s">
        <v>120</v>
      </c>
      <c r="AD24" s="315">
        <v>1</v>
      </c>
      <c r="AE24" s="315" t="s">
        <v>120</v>
      </c>
      <c r="AF24" s="315" t="s">
        <v>120</v>
      </c>
      <c r="AG24" s="315" t="s">
        <v>121</v>
      </c>
      <c r="AH24" s="303" t="s">
        <v>312</v>
      </c>
      <c r="AI24" s="301" t="s">
        <v>83</v>
      </c>
      <c r="AJ24" s="301" t="s">
        <v>286</v>
      </c>
      <c r="AK24" s="301" t="s">
        <v>83</v>
      </c>
      <c r="AL24" s="307" t="s">
        <v>314</v>
      </c>
      <c r="AM24" s="301" t="s">
        <v>288</v>
      </c>
      <c r="AN24" s="311" t="s">
        <v>83</v>
      </c>
      <c r="AO24" s="307" t="s">
        <v>290</v>
      </c>
      <c r="AP24" s="307" t="s">
        <v>83</v>
      </c>
      <c r="AQ24" s="307" t="s">
        <v>315</v>
      </c>
      <c r="AR24" s="307" t="s">
        <v>293</v>
      </c>
      <c r="AS24" s="307" t="s">
        <v>83</v>
      </c>
      <c r="AT24" s="311" t="s">
        <v>91</v>
      </c>
      <c r="AU24" s="333" t="s">
        <v>26</v>
      </c>
      <c r="AV24" s="364" t="str">
        <f t="shared" si="0"/>
        <v>Config - 31, UHF x C Link, UHF LNA-1, UHF DA-4, Ch EPC - M, DP IP port - 4, Ch Card - M2, Router - M, CDU - M, Sy EPC - M, DP OP port - 1, Sy Card - M, UHF x C U/C - 1, UHF x C C SSPA - 1</v>
      </c>
      <c r="AW24" s="71"/>
      <c r="AX24" s="71"/>
      <c r="AY24" s="71"/>
      <c r="AZ24" s="71"/>
      <c r="BA24" s="71"/>
      <c r="BB24" s="71"/>
      <c r="BC24" s="71"/>
      <c r="BD24" s="71"/>
      <c r="BE24" s="71"/>
    </row>
    <row r="25" spans="1:57" ht="57" thickBot="1" x14ac:dyDescent="0.3">
      <c r="A25" s="368">
        <v>32</v>
      </c>
      <c r="B25" s="382">
        <v>32</v>
      </c>
      <c r="C25" s="383">
        <v>309.08437500000002</v>
      </c>
      <c r="D25" s="383">
        <v>4182.0843750000004</v>
      </c>
      <c r="E25" s="384">
        <v>5</v>
      </c>
      <c r="F25" s="372"/>
      <c r="G25" s="372" t="s">
        <v>253</v>
      </c>
      <c r="H25" s="373" t="s">
        <v>254</v>
      </c>
      <c r="I25" s="372" t="s">
        <v>83</v>
      </c>
      <c r="J25" s="372" t="s">
        <v>295</v>
      </c>
      <c r="K25" s="373" t="s">
        <v>256</v>
      </c>
      <c r="L25" s="372" t="s">
        <v>83</v>
      </c>
      <c r="M25" s="374" t="s">
        <v>258</v>
      </c>
      <c r="N25" s="372" t="s">
        <v>83</v>
      </c>
      <c r="O25" s="375" t="s">
        <v>304</v>
      </c>
      <c r="P25" s="375" t="s">
        <v>63</v>
      </c>
      <c r="Q25" s="376" t="s">
        <v>299</v>
      </c>
      <c r="R25" s="375" t="s">
        <v>308</v>
      </c>
      <c r="S25" s="375" t="s">
        <v>63</v>
      </c>
      <c r="T25" s="377" t="s">
        <v>331</v>
      </c>
      <c r="U25" s="375">
        <v>2</v>
      </c>
      <c r="V25" s="369" t="s">
        <v>120</v>
      </c>
      <c r="W25" s="375">
        <v>4</v>
      </c>
      <c r="X25" s="375" t="s">
        <v>137</v>
      </c>
      <c r="Y25" s="375" t="s">
        <v>316</v>
      </c>
      <c r="Z25" s="375" t="s">
        <v>317</v>
      </c>
      <c r="AA25" s="369" t="s">
        <v>120</v>
      </c>
      <c r="AB25" s="369" t="s">
        <v>120</v>
      </c>
      <c r="AC25" s="369" t="s">
        <v>120</v>
      </c>
      <c r="AD25" s="375">
        <v>1</v>
      </c>
      <c r="AE25" s="375" t="s">
        <v>120</v>
      </c>
      <c r="AF25" s="375" t="s">
        <v>120</v>
      </c>
      <c r="AG25" s="375" t="s">
        <v>121</v>
      </c>
      <c r="AH25" s="378" t="s">
        <v>312</v>
      </c>
      <c r="AI25" s="374" t="s">
        <v>83</v>
      </c>
      <c r="AJ25" s="374" t="s">
        <v>286</v>
      </c>
      <c r="AK25" s="374" t="s">
        <v>83</v>
      </c>
      <c r="AL25" s="373" t="s">
        <v>314</v>
      </c>
      <c r="AM25" s="374" t="s">
        <v>288</v>
      </c>
      <c r="AN25" s="372" t="s">
        <v>83</v>
      </c>
      <c r="AO25" s="373" t="s">
        <v>290</v>
      </c>
      <c r="AP25" s="373" t="s">
        <v>83</v>
      </c>
      <c r="AQ25" s="373" t="s">
        <v>315</v>
      </c>
      <c r="AR25" s="373" t="s">
        <v>293</v>
      </c>
      <c r="AS25" s="373" t="s">
        <v>83</v>
      </c>
      <c r="AT25" s="372" t="s">
        <v>91</v>
      </c>
      <c r="AU25" s="379" t="s">
        <v>26</v>
      </c>
      <c r="AV25" s="364" t="str">
        <f t="shared" si="0"/>
        <v>Config - 32, UHF x C Link, UHF LNA-1, UHF DA-4, Ch EPC - M, DP IP port - 4, Ch Card - M2, Router - M, CDU - M, Sy EPC - M, DP OP port - 1, Sy Card - M, UHF x C U/C - 1, UHF x C C SSPA - 1</v>
      </c>
      <c r="AW25" s="71"/>
      <c r="AX25" s="71"/>
      <c r="AY25" s="71"/>
      <c r="AZ25" s="71"/>
      <c r="BA25" s="71"/>
      <c r="BB25" s="71"/>
      <c r="BC25" s="71"/>
      <c r="BD25" s="71"/>
      <c r="BE25" s="71"/>
    </row>
    <row r="26" spans="1:57" ht="56.25" x14ac:dyDescent="0.25">
      <c r="A26" s="321">
        <v>33</v>
      </c>
      <c r="B26" s="328">
        <v>33</v>
      </c>
      <c r="C26" s="338">
        <v>301.25078100000002</v>
      </c>
      <c r="D26" s="338">
        <v>4174.2507809999997</v>
      </c>
      <c r="E26" s="385">
        <v>25</v>
      </c>
      <c r="F26" s="324"/>
      <c r="G26" s="324" t="s">
        <v>253</v>
      </c>
      <c r="H26" s="325" t="s">
        <v>254</v>
      </c>
      <c r="I26" s="324" t="s">
        <v>83</v>
      </c>
      <c r="J26" s="324" t="s">
        <v>295</v>
      </c>
      <c r="K26" s="325" t="s">
        <v>256</v>
      </c>
      <c r="L26" s="324" t="s">
        <v>83</v>
      </c>
      <c r="M26" s="326" t="s">
        <v>258</v>
      </c>
      <c r="N26" s="324" t="s">
        <v>83</v>
      </c>
      <c r="O26" s="340" t="s">
        <v>305</v>
      </c>
      <c r="P26" s="340" t="s">
        <v>63</v>
      </c>
      <c r="Q26" s="322" t="s">
        <v>298</v>
      </c>
      <c r="R26" s="340" t="s">
        <v>309</v>
      </c>
      <c r="S26" s="340" t="s">
        <v>63</v>
      </c>
      <c r="T26" s="363" t="s">
        <v>331</v>
      </c>
      <c r="U26" s="340">
        <v>3</v>
      </c>
      <c r="V26" s="322" t="s">
        <v>120</v>
      </c>
      <c r="W26" s="340">
        <v>3</v>
      </c>
      <c r="X26" s="340" t="s">
        <v>137</v>
      </c>
      <c r="Y26" s="340" t="s">
        <v>316</v>
      </c>
      <c r="Z26" s="340" t="s">
        <v>317</v>
      </c>
      <c r="AA26" s="322" t="s">
        <v>120</v>
      </c>
      <c r="AB26" s="322" t="s">
        <v>120</v>
      </c>
      <c r="AC26" s="322" t="s">
        <v>120</v>
      </c>
      <c r="AD26" s="340">
        <v>1</v>
      </c>
      <c r="AE26" s="340" t="s">
        <v>120</v>
      </c>
      <c r="AF26" s="340" t="s">
        <v>120</v>
      </c>
      <c r="AG26" s="340" t="s">
        <v>121</v>
      </c>
      <c r="AH26" s="327" t="s">
        <v>312</v>
      </c>
      <c r="AI26" s="326" t="s">
        <v>83</v>
      </c>
      <c r="AJ26" s="326" t="s">
        <v>286</v>
      </c>
      <c r="AK26" s="326" t="s">
        <v>83</v>
      </c>
      <c r="AL26" s="325" t="s">
        <v>314</v>
      </c>
      <c r="AM26" s="326" t="s">
        <v>288</v>
      </c>
      <c r="AN26" s="324" t="s">
        <v>83</v>
      </c>
      <c r="AO26" s="325" t="s">
        <v>290</v>
      </c>
      <c r="AP26" s="325" t="s">
        <v>83</v>
      </c>
      <c r="AQ26" s="325" t="s">
        <v>315</v>
      </c>
      <c r="AR26" s="325" t="s">
        <v>293</v>
      </c>
      <c r="AS26" s="325" t="s">
        <v>83</v>
      </c>
      <c r="AT26" s="324" t="s">
        <v>91</v>
      </c>
      <c r="AU26" s="329" t="s">
        <v>26</v>
      </c>
      <c r="AV26" s="364" t="str">
        <f t="shared" si="0"/>
        <v>Config - 33, UHF x C Link, UHF LNA-1, UHF DA-3, Ch EPC - M, DP IP port - 3, Ch Card - M2, Router - M, CDU - M, Sy EPC - M, DP OP port - 1, Sy Card - M, UHF x C U/C - 1, UHF x C C SSPA - 1</v>
      </c>
      <c r="AW26" s="71"/>
      <c r="AX26" s="71"/>
      <c r="AY26" s="71"/>
      <c r="AZ26" s="71"/>
      <c r="BA26" s="71"/>
      <c r="BB26" s="71"/>
      <c r="BC26" s="71"/>
      <c r="BD26" s="71"/>
      <c r="BE26" s="71"/>
    </row>
    <row r="27" spans="1:57" ht="56.25" x14ac:dyDescent="0.25">
      <c r="A27" s="287">
        <v>34</v>
      </c>
      <c r="B27" s="332">
        <v>34</v>
      </c>
      <c r="C27" s="339">
        <v>302.87578100000002</v>
      </c>
      <c r="D27" s="339">
        <v>4175.8757809999997</v>
      </c>
      <c r="E27" s="386">
        <v>5</v>
      </c>
      <c r="F27" s="311"/>
      <c r="G27" s="311" t="s">
        <v>253</v>
      </c>
      <c r="H27" s="307" t="s">
        <v>254</v>
      </c>
      <c r="I27" s="311" t="s">
        <v>83</v>
      </c>
      <c r="J27" s="311" t="s">
        <v>295</v>
      </c>
      <c r="K27" s="307" t="s">
        <v>256</v>
      </c>
      <c r="L27" s="311" t="s">
        <v>83</v>
      </c>
      <c r="M27" s="301" t="s">
        <v>258</v>
      </c>
      <c r="N27" s="311" t="s">
        <v>83</v>
      </c>
      <c r="O27" s="300" t="s">
        <v>305</v>
      </c>
      <c r="P27" s="300" t="s">
        <v>63</v>
      </c>
      <c r="Q27" s="336" t="s">
        <v>298</v>
      </c>
      <c r="R27" s="300" t="s">
        <v>309</v>
      </c>
      <c r="S27" s="300" t="s">
        <v>63</v>
      </c>
      <c r="T27" s="366" t="s">
        <v>331</v>
      </c>
      <c r="U27" s="300">
        <v>3</v>
      </c>
      <c r="V27" s="330" t="s">
        <v>120</v>
      </c>
      <c r="W27" s="300">
        <v>3</v>
      </c>
      <c r="X27" s="300" t="s">
        <v>137</v>
      </c>
      <c r="Y27" s="300" t="s">
        <v>316</v>
      </c>
      <c r="Z27" s="300" t="s">
        <v>317</v>
      </c>
      <c r="AA27" s="330" t="s">
        <v>120</v>
      </c>
      <c r="AB27" s="330" t="s">
        <v>120</v>
      </c>
      <c r="AC27" s="330" t="s">
        <v>120</v>
      </c>
      <c r="AD27" s="300">
        <v>1</v>
      </c>
      <c r="AE27" s="300" t="s">
        <v>120</v>
      </c>
      <c r="AF27" s="300" t="s">
        <v>120</v>
      </c>
      <c r="AG27" s="300" t="s">
        <v>121</v>
      </c>
      <c r="AH27" s="303" t="s">
        <v>312</v>
      </c>
      <c r="AI27" s="301" t="s">
        <v>83</v>
      </c>
      <c r="AJ27" s="301" t="s">
        <v>286</v>
      </c>
      <c r="AK27" s="301" t="s">
        <v>83</v>
      </c>
      <c r="AL27" s="307" t="s">
        <v>314</v>
      </c>
      <c r="AM27" s="301" t="s">
        <v>288</v>
      </c>
      <c r="AN27" s="311" t="s">
        <v>83</v>
      </c>
      <c r="AO27" s="307" t="s">
        <v>290</v>
      </c>
      <c r="AP27" s="307" t="s">
        <v>83</v>
      </c>
      <c r="AQ27" s="307" t="s">
        <v>315</v>
      </c>
      <c r="AR27" s="307" t="s">
        <v>293</v>
      </c>
      <c r="AS27" s="307" t="s">
        <v>83</v>
      </c>
      <c r="AT27" s="311" t="s">
        <v>91</v>
      </c>
      <c r="AU27" s="333" t="s">
        <v>26</v>
      </c>
      <c r="AV27" s="364" t="str">
        <f t="shared" si="0"/>
        <v>Config - 34, UHF x C Link, UHF LNA-1, UHF DA-3, Ch EPC - M, DP IP port - 3, Ch Card - M2, Router - M, CDU - M, Sy EPC - M, DP OP port - 1, Sy Card - M, UHF x C U/C - 1, UHF x C C SSPA - 1</v>
      </c>
      <c r="AW27" s="71"/>
      <c r="AX27" s="71"/>
      <c r="AY27" s="71"/>
      <c r="AZ27" s="71"/>
      <c r="BA27" s="71"/>
      <c r="BB27" s="71"/>
      <c r="BC27" s="71"/>
      <c r="BD27" s="71"/>
      <c r="BE27" s="71"/>
    </row>
    <row r="28" spans="1:57" ht="56.25" x14ac:dyDescent="0.25">
      <c r="A28" s="287">
        <v>35</v>
      </c>
      <c r="B28" s="332">
        <v>35</v>
      </c>
      <c r="C28" s="339">
        <v>302.89609400000001</v>
      </c>
      <c r="D28" s="339">
        <v>4175.8960939999997</v>
      </c>
      <c r="E28" s="386">
        <v>5</v>
      </c>
      <c r="F28" s="311"/>
      <c r="G28" s="311" t="s">
        <v>253</v>
      </c>
      <c r="H28" s="307" t="s">
        <v>254</v>
      </c>
      <c r="I28" s="311" t="s">
        <v>83</v>
      </c>
      <c r="J28" s="311" t="s">
        <v>295</v>
      </c>
      <c r="K28" s="307" t="s">
        <v>256</v>
      </c>
      <c r="L28" s="311" t="s">
        <v>83</v>
      </c>
      <c r="M28" s="301" t="s">
        <v>258</v>
      </c>
      <c r="N28" s="311" t="s">
        <v>83</v>
      </c>
      <c r="O28" s="300" t="s">
        <v>305</v>
      </c>
      <c r="P28" s="300" t="s">
        <v>63</v>
      </c>
      <c r="Q28" s="336" t="s">
        <v>298</v>
      </c>
      <c r="R28" s="300" t="s">
        <v>309</v>
      </c>
      <c r="S28" s="300" t="s">
        <v>63</v>
      </c>
      <c r="T28" s="366" t="s">
        <v>331</v>
      </c>
      <c r="U28" s="300">
        <v>3</v>
      </c>
      <c r="V28" s="330" t="s">
        <v>120</v>
      </c>
      <c r="W28" s="300">
        <v>3</v>
      </c>
      <c r="X28" s="300" t="s">
        <v>137</v>
      </c>
      <c r="Y28" s="300" t="s">
        <v>316</v>
      </c>
      <c r="Z28" s="300" t="s">
        <v>317</v>
      </c>
      <c r="AA28" s="330" t="s">
        <v>120</v>
      </c>
      <c r="AB28" s="330" t="s">
        <v>120</v>
      </c>
      <c r="AC28" s="330" t="s">
        <v>120</v>
      </c>
      <c r="AD28" s="300">
        <v>1</v>
      </c>
      <c r="AE28" s="300" t="s">
        <v>120</v>
      </c>
      <c r="AF28" s="300" t="s">
        <v>120</v>
      </c>
      <c r="AG28" s="300" t="s">
        <v>121</v>
      </c>
      <c r="AH28" s="303" t="s">
        <v>312</v>
      </c>
      <c r="AI28" s="301" t="s">
        <v>83</v>
      </c>
      <c r="AJ28" s="301" t="s">
        <v>286</v>
      </c>
      <c r="AK28" s="301" t="s">
        <v>83</v>
      </c>
      <c r="AL28" s="307" t="s">
        <v>314</v>
      </c>
      <c r="AM28" s="301" t="s">
        <v>288</v>
      </c>
      <c r="AN28" s="311" t="s">
        <v>83</v>
      </c>
      <c r="AO28" s="307" t="s">
        <v>290</v>
      </c>
      <c r="AP28" s="307" t="s">
        <v>83</v>
      </c>
      <c r="AQ28" s="307" t="s">
        <v>315</v>
      </c>
      <c r="AR28" s="307" t="s">
        <v>293</v>
      </c>
      <c r="AS28" s="307" t="s">
        <v>83</v>
      </c>
      <c r="AT28" s="311" t="s">
        <v>91</v>
      </c>
      <c r="AU28" s="333" t="s">
        <v>26</v>
      </c>
      <c r="AV28" s="364" t="str">
        <f t="shared" si="0"/>
        <v>Config - 35, UHF x C Link, UHF LNA-1, UHF DA-3, Ch EPC - M, DP IP port - 3, Ch Card - M2, Router - M, CDU - M, Sy EPC - M, DP OP port - 1, Sy Card - M, UHF x C U/C - 1, UHF x C C SSPA - 1</v>
      </c>
      <c r="AW28" s="71"/>
      <c r="AX28" s="71"/>
      <c r="AY28" s="71"/>
      <c r="AZ28" s="71"/>
      <c r="BA28" s="71"/>
      <c r="BB28" s="71"/>
      <c r="BC28" s="71"/>
      <c r="BD28" s="71"/>
      <c r="BE28" s="71"/>
    </row>
    <row r="29" spans="1:57" ht="56.25" x14ac:dyDescent="0.25">
      <c r="A29" s="287">
        <v>36</v>
      </c>
      <c r="B29" s="332">
        <v>36</v>
      </c>
      <c r="C29" s="339">
        <v>302.91640599999999</v>
      </c>
      <c r="D29" s="339">
        <v>4175.9164060000003</v>
      </c>
      <c r="E29" s="386">
        <v>5</v>
      </c>
      <c r="F29" s="311"/>
      <c r="G29" s="311" t="s">
        <v>253</v>
      </c>
      <c r="H29" s="307" t="s">
        <v>254</v>
      </c>
      <c r="I29" s="311" t="s">
        <v>83</v>
      </c>
      <c r="J29" s="311" t="s">
        <v>295</v>
      </c>
      <c r="K29" s="307" t="s">
        <v>256</v>
      </c>
      <c r="L29" s="311" t="s">
        <v>83</v>
      </c>
      <c r="M29" s="301" t="s">
        <v>258</v>
      </c>
      <c r="N29" s="311" t="s">
        <v>83</v>
      </c>
      <c r="O29" s="300" t="s">
        <v>305</v>
      </c>
      <c r="P29" s="300" t="s">
        <v>63</v>
      </c>
      <c r="Q29" s="336" t="s">
        <v>298</v>
      </c>
      <c r="R29" s="300" t="s">
        <v>309</v>
      </c>
      <c r="S29" s="300" t="s">
        <v>63</v>
      </c>
      <c r="T29" s="366" t="s">
        <v>331</v>
      </c>
      <c r="U29" s="300">
        <v>3</v>
      </c>
      <c r="V29" s="330" t="s">
        <v>120</v>
      </c>
      <c r="W29" s="300">
        <v>3</v>
      </c>
      <c r="X29" s="300" t="s">
        <v>137</v>
      </c>
      <c r="Y29" s="300" t="s">
        <v>316</v>
      </c>
      <c r="Z29" s="300" t="s">
        <v>317</v>
      </c>
      <c r="AA29" s="330" t="s">
        <v>120</v>
      </c>
      <c r="AB29" s="330" t="s">
        <v>120</v>
      </c>
      <c r="AC29" s="330" t="s">
        <v>120</v>
      </c>
      <c r="AD29" s="300">
        <v>1</v>
      </c>
      <c r="AE29" s="300" t="s">
        <v>120</v>
      </c>
      <c r="AF29" s="300" t="s">
        <v>120</v>
      </c>
      <c r="AG29" s="300" t="s">
        <v>121</v>
      </c>
      <c r="AH29" s="303" t="s">
        <v>312</v>
      </c>
      <c r="AI29" s="301" t="s">
        <v>83</v>
      </c>
      <c r="AJ29" s="301" t="s">
        <v>286</v>
      </c>
      <c r="AK29" s="301" t="s">
        <v>83</v>
      </c>
      <c r="AL29" s="307" t="s">
        <v>314</v>
      </c>
      <c r="AM29" s="301" t="s">
        <v>288</v>
      </c>
      <c r="AN29" s="311" t="s">
        <v>83</v>
      </c>
      <c r="AO29" s="307" t="s">
        <v>290</v>
      </c>
      <c r="AP29" s="307" t="s">
        <v>83</v>
      </c>
      <c r="AQ29" s="307" t="s">
        <v>315</v>
      </c>
      <c r="AR29" s="307" t="s">
        <v>293</v>
      </c>
      <c r="AS29" s="307" t="s">
        <v>83</v>
      </c>
      <c r="AT29" s="311" t="s">
        <v>91</v>
      </c>
      <c r="AU29" s="333" t="s">
        <v>26</v>
      </c>
      <c r="AV29" s="364" t="str">
        <f t="shared" si="0"/>
        <v>Config - 36, UHF x C Link, UHF LNA-1, UHF DA-3, Ch EPC - M, DP IP port - 3, Ch Card - M2, Router - M, CDU - M, Sy EPC - M, DP OP port - 1, Sy Card - M, UHF x C U/C - 1, UHF x C C SSPA - 1</v>
      </c>
      <c r="AW29" s="71"/>
      <c r="AX29" s="71"/>
      <c r="AY29" s="71"/>
      <c r="AZ29" s="71"/>
      <c r="BA29" s="71"/>
      <c r="BB29" s="71"/>
      <c r="BC29" s="71"/>
      <c r="BD29" s="71"/>
      <c r="BE29" s="71"/>
    </row>
    <row r="30" spans="1:57" ht="56.25" x14ac:dyDescent="0.25">
      <c r="A30" s="287">
        <v>37</v>
      </c>
      <c r="B30" s="332">
        <v>37</v>
      </c>
      <c r="C30" s="339">
        <v>302.93671899999998</v>
      </c>
      <c r="D30" s="339">
        <v>4175.9367190000003</v>
      </c>
      <c r="E30" s="386">
        <v>5</v>
      </c>
      <c r="F30" s="311"/>
      <c r="G30" s="311" t="s">
        <v>253</v>
      </c>
      <c r="H30" s="307" t="s">
        <v>254</v>
      </c>
      <c r="I30" s="311" t="s">
        <v>83</v>
      </c>
      <c r="J30" s="311" t="s">
        <v>295</v>
      </c>
      <c r="K30" s="307" t="s">
        <v>256</v>
      </c>
      <c r="L30" s="311" t="s">
        <v>83</v>
      </c>
      <c r="M30" s="301" t="s">
        <v>258</v>
      </c>
      <c r="N30" s="311" t="s">
        <v>83</v>
      </c>
      <c r="O30" s="300" t="s">
        <v>305</v>
      </c>
      <c r="P30" s="300" t="s">
        <v>63</v>
      </c>
      <c r="Q30" s="336" t="s">
        <v>298</v>
      </c>
      <c r="R30" s="300" t="s">
        <v>309</v>
      </c>
      <c r="S30" s="300" t="s">
        <v>63</v>
      </c>
      <c r="T30" s="366" t="s">
        <v>331</v>
      </c>
      <c r="U30" s="300">
        <v>3</v>
      </c>
      <c r="V30" s="330" t="s">
        <v>120</v>
      </c>
      <c r="W30" s="300">
        <v>3</v>
      </c>
      <c r="X30" s="300" t="s">
        <v>137</v>
      </c>
      <c r="Y30" s="300" t="s">
        <v>316</v>
      </c>
      <c r="Z30" s="300" t="s">
        <v>317</v>
      </c>
      <c r="AA30" s="330" t="s">
        <v>120</v>
      </c>
      <c r="AB30" s="330" t="s">
        <v>120</v>
      </c>
      <c r="AC30" s="330" t="s">
        <v>120</v>
      </c>
      <c r="AD30" s="300">
        <v>1</v>
      </c>
      <c r="AE30" s="300" t="s">
        <v>120</v>
      </c>
      <c r="AF30" s="300" t="s">
        <v>120</v>
      </c>
      <c r="AG30" s="300" t="s">
        <v>121</v>
      </c>
      <c r="AH30" s="303" t="s">
        <v>312</v>
      </c>
      <c r="AI30" s="301" t="s">
        <v>83</v>
      </c>
      <c r="AJ30" s="301" t="s">
        <v>286</v>
      </c>
      <c r="AK30" s="301" t="s">
        <v>83</v>
      </c>
      <c r="AL30" s="307" t="s">
        <v>314</v>
      </c>
      <c r="AM30" s="301" t="s">
        <v>288</v>
      </c>
      <c r="AN30" s="311" t="s">
        <v>83</v>
      </c>
      <c r="AO30" s="307" t="s">
        <v>290</v>
      </c>
      <c r="AP30" s="307" t="s">
        <v>83</v>
      </c>
      <c r="AQ30" s="307" t="s">
        <v>315</v>
      </c>
      <c r="AR30" s="307" t="s">
        <v>293</v>
      </c>
      <c r="AS30" s="307" t="s">
        <v>83</v>
      </c>
      <c r="AT30" s="311" t="s">
        <v>91</v>
      </c>
      <c r="AU30" s="333" t="s">
        <v>26</v>
      </c>
      <c r="AV30" s="364" t="str">
        <f t="shared" si="0"/>
        <v>Config - 37, UHF x C Link, UHF LNA-1, UHF DA-3, Ch EPC - M, DP IP port - 3, Ch Card - M2, Router - M, CDU - M, Sy EPC - M, DP OP port - 1, Sy Card - M, UHF x C U/C - 1, UHF x C C SSPA - 1</v>
      </c>
      <c r="AW30" s="71"/>
      <c r="AX30" s="71"/>
      <c r="AY30" s="71"/>
      <c r="AZ30" s="71"/>
      <c r="BA30" s="71"/>
      <c r="BB30" s="71"/>
      <c r="BC30" s="71"/>
      <c r="BD30" s="71"/>
      <c r="BE30" s="71"/>
    </row>
    <row r="31" spans="1:57" ht="56.25" x14ac:dyDescent="0.25">
      <c r="A31" s="287">
        <v>38</v>
      </c>
      <c r="B31" s="332">
        <v>38</v>
      </c>
      <c r="C31" s="339">
        <v>302.95703099999997</v>
      </c>
      <c r="D31" s="339">
        <v>4175.9570309999999</v>
      </c>
      <c r="E31" s="386">
        <v>5</v>
      </c>
      <c r="F31" s="311"/>
      <c r="G31" s="311" t="s">
        <v>253</v>
      </c>
      <c r="H31" s="307" t="s">
        <v>254</v>
      </c>
      <c r="I31" s="311" t="s">
        <v>83</v>
      </c>
      <c r="J31" s="311" t="s">
        <v>295</v>
      </c>
      <c r="K31" s="307" t="s">
        <v>256</v>
      </c>
      <c r="L31" s="311" t="s">
        <v>83</v>
      </c>
      <c r="M31" s="301" t="s">
        <v>258</v>
      </c>
      <c r="N31" s="311" t="s">
        <v>83</v>
      </c>
      <c r="O31" s="300" t="s">
        <v>305</v>
      </c>
      <c r="P31" s="300" t="s">
        <v>63</v>
      </c>
      <c r="Q31" s="336" t="s">
        <v>298</v>
      </c>
      <c r="R31" s="300" t="s">
        <v>309</v>
      </c>
      <c r="S31" s="300" t="s">
        <v>63</v>
      </c>
      <c r="T31" s="366" t="s">
        <v>331</v>
      </c>
      <c r="U31" s="300">
        <v>3</v>
      </c>
      <c r="V31" s="330" t="s">
        <v>120</v>
      </c>
      <c r="W31" s="300">
        <v>3</v>
      </c>
      <c r="X31" s="300" t="s">
        <v>137</v>
      </c>
      <c r="Y31" s="300" t="s">
        <v>316</v>
      </c>
      <c r="Z31" s="300" t="s">
        <v>317</v>
      </c>
      <c r="AA31" s="330" t="s">
        <v>120</v>
      </c>
      <c r="AB31" s="330" t="s">
        <v>120</v>
      </c>
      <c r="AC31" s="330" t="s">
        <v>120</v>
      </c>
      <c r="AD31" s="300">
        <v>1</v>
      </c>
      <c r="AE31" s="300" t="s">
        <v>120</v>
      </c>
      <c r="AF31" s="300" t="s">
        <v>120</v>
      </c>
      <c r="AG31" s="300" t="s">
        <v>121</v>
      </c>
      <c r="AH31" s="303" t="s">
        <v>312</v>
      </c>
      <c r="AI31" s="301" t="s">
        <v>83</v>
      </c>
      <c r="AJ31" s="301" t="s">
        <v>286</v>
      </c>
      <c r="AK31" s="301" t="s">
        <v>83</v>
      </c>
      <c r="AL31" s="307" t="s">
        <v>314</v>
      </c>
      <c r="AM31" s="301" t="s">
        <v>288</v>
      </c>
      <c r="AN31" s="311" t="s">
        <v>83</v>
      </c>
      <c r="AO31" s="307" t="s">
        <v>290</v>
      </c>
      <c r="AP31" s="307" t="s">
        <v>83</v>
      </c>
      <c r="AQ31" s="307" t="s">
        <v>315</v>
      </c>
      <c r="AR31" s="307" t="s">
        <v>293</v>
      </c>
      <c r="AS31" s="307" t="s">
        <v>83</v>
      </c>
      <c r="AT31" s="311" t="s">
        <v>91</v>
      </c>
      <c r="AU31" s="333" t="s">
        <v>26</v>
      </c>
      <c r="AV31" s="364" t="str">
        <f t="shared" si="0"/>
        <v>Config - 38, UHF x C Link, UHF LNA-1, UHF DA-3, Ch EPC - M, DP IP port - 3, Ch Card - M2, Router - M, CDU - M, Sy EPC - M, DP OP port - 1, Sy Card - M, UHF x C U/C - 1, UHF x C C SSPA - 1</v>
      </c>
      <c r="AW31" s="71"/>
      <c r="AX31" s="71"/>
      <c r="AY31" s="71"/>
      <c r="AZ31" s="71"/>
      <c r="BA31" s="71"/>
      <c r="BB31" s="71"/>
      <c r="BC31" s="71"/>
      <c r="BD31" s="71"/>
      <c r="BE31" s="71"/>
    </row>
    <row r="32" spans="1:57" ht="56.25" x14ac:dyDescent="0.25">
      <c r="A32" s="287">
        <v>39</v>
      </c>
      <c r="B32" s="332">
        <v>39</v>
      </c>
      <c r="C32" s="339">
        <v>307.75390599999997</v>
      </c>
      <c r="D32" s="339">
        <v>4180.7539059999999</v>
      </c>
      <c r="E32" s="386">
        <v>25</v>
      </c>
      <c r="F32" s="311"/>
      <c r="G32" s="311" t="s">
        <v>253</v>
      </c>
      <c r="H32" s="307" t="s">
        <v>254</v>
      </c>
      <c r="I32" s="311" t="s">
        <v>83</v>
      </c>
      <c r="J32" s="311" t="s">
        <v>295</v>
      </c>
      <c r="K32" s="307" t="s">
        <v>256</v>
      </c>
      <c r="L32" s="311" t="s">
        <v>83</v>
      </c>
      <c r="M32" s="301" t="s">
        <v>258</v>
      </c>
      <c r="N32" s="311" t="s">
        <v>83</v>
      </c>
      <c r="O32" s="317" t="s">
        <v>304</v>
      </c>
      <c r="P32" s="317" t="s">
        <v>63</v>
      </c>
      <c r="Q32" s="332" t="s">
        <v>299</v>
      </c>
      <c r="R32" s="317" t="s">
        <v>308</v>
      </c>
      <c r="S32" s="317" t="s">
        <v>63</v>
      </c>
      <c r="T32" s="366" t="s">
        <v>331</v>
      </c>
      <c r="U32" s="317">
        <v>3</v>
      </c>
      <c r="V32" s="330" t="s">
        <v>120</v>
      </c>
      <c r="W32" s="317">
        <v>4</v>
      </c>
      <c r="X32" s="317" t="s">
        <v>137</v>
      </c>
      <c r="Y32" s="317" t="s">
        <v>316</v>
      </c>
      <c r="Z32" s="317" t="s">
        <v>317</v>
      </c>
      <c r="AA32" s="330" t="s">
        <v>120</v>
      </c>
      <c r="AB32" s="330" t="s">
        <v>120</v>
      </c>
      <c r="AC32" s="330" t="s">
        <v>120</v>
      </c>
      <c r="AD32" s="317">
        <v>1</v>
      </c>
      <c r="AE32" s="317" t="s">
        <v>120</v>
      </c>
      <c r="AF32" s="317" t="s">
        <v>120</v>
      </c>
      <c r="AG32" s="317" t="s">
        <v>121</v>
      </c>
      <c r="AH32" s="303" t="s">
        <v>312</v>
      </c>
      <c r="AI32" s="301" t="s">
        <v>83</v>
      </c>
      <c r="AJ32" s="301" t="s">
        <v>286</v>
      </c>
      <c r="AK32" s="301" t="s">
        <v>83</v>
      </c>
      <c r="AL32" s="307" t="s">
        <v>314</v>
      </c>
      <c r="AM32" s="301" t="s">
        <v>288</v>
      </c>
      <c r="AN32" s="311" t="s">
        <v>83</v>
      </c>
      <c r="AO32" s="307" t="s">
        <v>290</v>
      </c>
      <c r="AP32" s="307" t="s">
        <v>83</v>
      </c>
      <c r="AQ32" s="307" t="s">
        <v>315</v>
      </c>
      <c r="AR32" s="307" t="s">
        <v>293</v>
      </c>
      <c r="AS32" s="307" t="s">
        <v>83</v>
      </c>
      <c r="AT32" s="311" t="s">
        <v>91</v>
      </c>
      <c r="AU32" s="333" t="s">
        <v>26</v>
      </c>
      <c r="AV32" s="364" t="str">
        <f t="shared" si="0"/>
        <v>Config - 39, UHF x C Link, UHF LNA-1, UHF DA-4, Ch EPC - M, DP IP port - 4, Ch Card - M2, Router - M, CDU - M, Sy EPC - M, DP OP port - 1, Sy Card - M, UHF x C U/C - 1, UHF x C C SSPA - 1</v>
      </c>
      <c r="AW32" s="71"/>
      <c r="AX32" s="71"/>
      <c r="AY32" s="71"/>
      <c r="AZ32" s="71"/>
      <c r="BA32" s="71"/>
      <c r="BB32" s="71"/>
      <c r="BC32" s="71"/>
      <c r="BD32" s="71"/>
      <c r="BE32" s="71"/>
    </row>
    <row r="33" spans="1:57" ht="56.25" x14ac:dyDescent="0.25">
      <c r="A33" s="287">
        <v>40</v>
      </c>
      <c r="B33" s="332">
        <v>40</v>
      </c>
      <c r="C33" s="339">
        <v>308.02812499999999</v>
      </c>
      <c r="D33" s="339">
        <v>4181.0281249999998</v>
      </c>
      <c r="E33" s="386">
        <v>5</v>
      </c>
      <c r="F33" s="311"/>
      <c r="G33" s="311" t="s">
        <v>253</v>
      </c>
      <c r="H33" s="307" t="s">
        <v>254</v>
      </c>
      <c r="I33" s="311" t="s">
        <v>83</v>
      </c>
      <c r="J33" s="311" t="s">
        <v>295</v>
      </c>
      <c r="K33" s="307" t="s">
        <v>256</v>
      </c>
      <c r="L33" s="311" t="s">
        <v>83</v>
      </c>
      <c r="M33" s="301" t="s">
        <v>258</v>
      </c>
      <c r="N33" s="311" t="s">
        <v>83</v>
      </c>
      <c r="O33" s="315" t="s">
        <v>304</v>
      </c>
      <c r="P33" s="315" t="s">
        <v>63</v>
      </c>
      <c r="Q33" s="367" t="s">
        <v>299</v>
      </c>
      <c r="R33" s="315" t="s">
        <v>308</v>
      </c>
      <c r="S33" s="315" t="s">
        <v>63</v>
      </c>
      <c r="T33" s="366" t="s">
        <v>331</v>
      </c>
      <c r="U33" s="315">
        <v>3</v>
      </c>
      <c r="V33" s="330" t="s">
        <v>120</v>
      </c>
      <c r="W33" s="315">
        <v>4</v>
      </c>
      <c r="X33" s="315" t="s">
        <v>137</v>
      </c>
      <c r="Y33" s="315" t="s">
        <v>316</v>
      </c>
      <c r="Z33" s="315" t="s">
        <v>317</v>
      </c>
      <c r="AA33" s="330" t="s">
        <v>120</v>
      </c>
      <c r="AB33" s="330" t="s">
        <v>120</v>
      </c>
      <c r="AC33" s="330" t="s">
        <v>120</v>
      </c>
      <c r="AD33" s="315">
        <v>1</v>
      </c>
      <c r="AE33" s="315" t="s">
        <v>120</v>
      </c>
      <c r="AF33" s="315" t="s">
        <v>120</v>
      </c>
      <c r="AG33" s="315" t="s">
        <v>121</v>
      </c>
      <c r="AH33" s="303" t="s">
        <v>312</v>
      </c>
      <c r="AI33" s="301" t="s">
        <v>83</v>
      </c>
      <c r="AJ33" s="301" t="s">
        <v>286</v>
      </c>
      <c r="AK33" s="301" t="s">
        <v>83</v>
      </c>
      <c r="AL33" s="307" t="s">
        <v>314</v>
      </c>
      <c r="AM33" s="301" t="s">
        <v>288</v>
      </c>
      <c r="AN33" s="311" t="s">
        <v>83</v>
      </c>
      <c r="AO33" s="307" t="s">
        <v>290</v>
      </c>
      <c r="AP33" s="307" t="s">
        <v>83</v>
      </c>
      <c r="AQ33" s="307" t="s">
        <v>315</v>
      </c>
      <c r="AR33" s="307" t="s">
        <v>293</v>
      </c>
      <c r="AS33" s="307" t="s">
        <v>83</v>
      </c>
      <c r="AT33" s="311" t="s">
        <v>91</v>
      </c>
      <c r="AU33" s="333" t="s">
        <v>26</v>
      </c>
      <c r="AV33" s="364" t="str">
        <f t="shared" si="0"/>
        <v>Config - 40, UHF x C Link, UHF LNA-1, UHF DA-4, Ch EPC - M, DP IP port - 4, Ch Card - M2, Router - M, CDU - M, Sy EPC - M, DP OP port - 1, Sy Card - M, UHF x C U/C - 1, UHF x C C SSPA - 1</v>
      </c>
      <c r="AW33" s="71"/>
      <c r="AX33" s="71"/>
      <c r="AY33" s="71"/>
      <c r="AZ33" s="71"/>
      <c r="BA33" s="71"/>
      <c r="BB33" s="71"/>
      <c r="BC33" s="71"/>
      <c r="BD33" s="71"/>
      <c r="BE33" s="71"/>
    </row>
    <row r="34" spans="1:57" ht="56.25" x14ac:dyDescent="0.25">
      <c r="A34" s="287">
        <v>41</v>
      </c>
      <c r="B34" s="332">
        <v>41</v>
      </c>
      <c r="C34" s="339">
        <v>308.04843799999998</v>
      </c>
      <c r="D34" s="339">
        <v>4181.0484379999998</v>
      </c>
      <c r="E34" s="386">
        <v>5</v>
      </c>
      <c r="F34" s="311"/>
      <c r="G34" s="311" t="s">
        <v>253</v>
      </c>
      <c r="H34" s="307" t="s">
        <v>254</v>
      </c>
      <c r="I34" s="311" t="s">
        <v>83</v>
      </c>
      <c r="J34" s="311" t="s">
        <v>295</v>
      </c>
      <c r="K34" s="307" t="s">
        <v>256</v>
      </c>
      <c r="L34" s="311" t="s">
        <v>83</v>
      </c>
      <c r="M34" s="301" t="s">
        <v>258</v>
      </c>
      <c r="N34" s="311" t="s">
        <v>83</v>
      </c>
      <c r="O34" s="315" t="s">
        <v>304</v>
      </c>
      <c r="P34" s="315" t="s">
        <v>63</v>
      </c>
      <c r="Q34" s="367" t="s">
        <v>299</v>
      </c>
      <c r="R34" s="315" t="s">
        <v>308</v>
      </c>
      <c r="S34" s="315" t="s">
        <v>63</v>
      </c>
      <c r="T34" s="366" t="s">
        <v>331</v>
      </c>
      <c r="U34" s="315">
        <v>3</v>
      </c>
      <c r="V34" s="330" t="s">
        <v>120</v>
      </c>
      <c r="W34" s="315">
        <v>4</v>
      </c>
      <c r="X34" s="315" t="s">
        <v>137</v>
      </c>
      <c r="Y34" s="315" t="s">
        <v>316</v>
      </c>
      <c r="Z34" s="315" t="s">
        <v>317</v>
      </c>
      <c r="AA34" s="330" t="s">
        <v>120</v>
      </c>
      <c r="AB34" s="330" t="s">
        <v>120</v>
      </c>
      <c r="AC34" s="330" t="s">
        <v>120</v>
      </c>
      <c r="AD34" s="315">
        <v>1</v>
      </c>
      <c r="AE34" s="315" t="s">
        <v>120</v>
      </c>
      <c r="AF34" s="315" t="s">
        <v>120</v>
      </c>
      <c r="AG34" s="315" t="s">
        <v>121</v>
      </c>
      <c r="AH34" s="303" t="s">
        <v>312</v>
      </c>
      <c r="AI34" s="301" t="s">
        <v>83</v>
      </c>
      <c r="AJ34" s="301" t="s">
        <v>286</v>
      </c>
      <c r="AK34" s="301" t="s">
        <v>83</v>
      </c>
      <c r="AL34" s="307" t="s">
        <v>314</v>
      </c>
      <c r="AM34" s="301" t="s">
        <v>288</v>
      </c>
      <c r="AN34" s="311" t="s">
        <v>83</v>
      </c>
      <c r="AO34" s="307" t="s">
        <v>290</v>
      </c>
      <c r="AP34" s="307" t="s">
        <v>83</v>
      </c>
      <c r="AQ34" s="307" t="s">
        <v>315</v>
      </c>
      <c r="AR34" s="307" t="s">
        <v>293</v>
      </c>
      <c r="AS34" s="307" t="s">
        <v>83</v>
      </c>
      <c r="AT34" s="311" t="s">
        <v>91</v>
      </c>
      <c r="AU34" s="333" t="s">
        <v>26</v>
      </c>
      <c r="AV34" s="364" t="str">
        <f t="shared" si="0"/>
        <v>Config - 41, UHF x C Link, UHF LNA-1, UHF DA-4, Ch EPC - M, DP IP port - 4, Ch Card - M2, Router - M, CDU - M, Sy EPC - M, DP OP port - 1, Sy Card - M, UHF x C U/C - 1, UHF x C C SSPA - 1</v>
      </c>
      <c r="AW34" s="71"/>
      <c r="AX34" s="71"/>
      <c r="AY34" s="71"/>
      <c r="AZ34" s="71"/>
      <c r="BA34" s="71"/>
      <c r="BB34" s="71"/>
      <c r="BC34" s="71"/>
      <c r="BD34" s="71"/>
      <c r="BE34" s="71"/>
    </row>
    <row r="35" spans="1:57" ht="56.25" x14ac:dyDescent="0.25">
      <c r="A35" s="287">
        <v>42</v>
      </c>
      <c r="B35" s="332">
        <v>42</v>
      </c>
      <c r="C35" s="339">
        <v>308.06875000000002</v>
      </c>
      <c r="D35" s="339">
        <v>4181.0687500000004</v>
      </c>
      <c r="E35" s="386">
        <v>5</v>
      </c>
      <c r="F35" s="311"/>
      <c r="G35" s="311" t="s">
        <v>253</v>
      </c>
      <c r="H35" s="307" t="s">
        <v>254</v>
      </c>
      <c r="I35" s="311" t="s">
        <v>83</v>
      </c>
      <c r="J35" s="311" t="s">
        <v>295</v>
      </c>
      <c r="K35" s="307" t="s">
        <v>256</v>
      </c>
      <c r="L35" s="311" t="s">
        <v>83</v>
      </c>
      <c r="M35" s="301" t="s">
        <v>258</v>
      </c>
      <c r="N35" s="311" t="s">
        <v>83</v>
      </c>
      <c r="O35" s="315" t="s">
        <v>304</v>
      </c>
      <c r="P35" s="315" t="s">
        <v>63</v>
      </c>
      <c r="Q35" s="367" t="s">
        <v>299</v>
      </c>
      <c r="R35" s="315" t="s">
        <v>308</v>
      </c>
      <c r="S35" s="315" t="s">
        <v>63</v>
      </c>
      <c r="T35" s="366" t="s">
        <v>331</v>
      </c>
      <c r="U35" s="315">
        <v>3</v>
      </c>
      <c r="V35" s="330" t="s">
        <v>120</v>
      </c>
      <c r="W35" s="315">
        <v>4</v>
      </c>
      <c r="X35" s="315" t="s">
        <v>137</v>
      </c>
      <c r="Y35" s="315" t="s">
        <v>316</v>
      </c>
      <c r="Z35" s="315" t="s">
        <v>317</v>
      </c>
      <c r="AA35" s="330" t="s">
        <v>120</v>
      </c>
      <c r="AB35" s="330" t="s">
        <v>120</v>
      </c>
      <c r="AC35" s="330" t="s">
        <v>120</v>
      </c>
      <c r="AD35" s="315">
        <v>1</v>
      </c>
      <c r="AE35" s="315" t="s">
        <v>120</v>
      </c>
      <c r="AF35" s="315" t="s">
        <v>120</v>
      </c>
      <c r="AG35" s="315" t="s">
        <v>121</v>
      </c>
      <c r="AH35" s="303" t="s">
        <v>312</v>
      </c>
      <c r="AI35" s="301" t="s">
        <v>83</v>
      </c>
      <c r="AJ35" s="301" t="s">
        <v>286</v>
      </c>
      <c r="AK35" s="301" t="s">
        <v>83</v>
      </c>
      <c r="AL35" s="307" t="s">
        <v>314</v>
      </c>
      <c r="AM35" s="301" t="s">
        <v>288</v>
      </c>
      <c r="AN35" s="311" t="s">
        <v>83</v>
      </c>
      <c r="AO35" s="307" t="s">
        <v>290</v>
      </c>
      <c r="AP35" s="307" t="s">
        <v>83</v>
      </c>
      <c r="AQ35" s="307" t="s">
        <v>315</v>
      </c>
      <c r="AR35" s="307" t="s">
        <v>293</v>
      </c>
      <c r="AS35" s="307" t="s">
        <v>83</v>
      </c>
      <c r="AT35" s="311" t="s">
        <v>91</v>
      </c>
      <c r="AU35" s="333" t="s">
        <v>26</v>
      </c>
      <c r="AV35" s="364" t="str">
        <f t="shared" si="0"/>
        <v>Config - 42, UHF x C Link, UHF LNA-1, UHF DA-4, Ch EPC - M, DP IP port - 4, Ch Card - M2, Router - M, CDU - M, Sy EPC - M, DP OP port - 1, Sy Card - M, UHF x C U/C - 1, UHF x C C SSPA - 1</v>
      </c>
      <c r="AW35" s="71"/>
      <c r="AX35" s="71"/>
      <c r="AY35" s="71"/>
      <c r="AZ35" s="71"/>
      <c r="BA35" s="71"/>
      <c r="BB35" s="71"/>
      <c r="BC35" s="71"/>
      <c r="BD35" s="71"/>
      <c r="BE35" s="71"/>
    </row>
    <row r="36" spans="1:57" ht="56.25" x14ac:dyDescent="0.25">
      <c r="A36" s="287">
        <v>43</v>
      </c>
      <c r="B36" s="332">
        <v>43</v>
      </c>
      <c r="C36" s="339">
        <v>308.08906300000001</v>
      </c>
      <c r="D36" s="339">
        <v>4181.0890630000004</v>
      </c>
      <c r="E36" s="386">
        <v>5</v>
      </c>
      <c r="F36" s="311"/>
      <c r="G36" s="311" t="s">
        <v>253</v>
      </c>
      <c r="H36" s="307" t="s">
        <v>254</v>
      </c>
      <c r="I36" s="311" t="s">
        <v>83</v>
      </c>
      <c r="J36" s="311" t="s">
        <v>295</v>
      </c>
      <c r="K36" s="307" t="s">
        <v>256</v>
      </c>
      <c r="L36" s="311" t="s">
        <v>83</v>
      </c>
      <c r="M36" s="301" t="s">
        <v>258</v>
      </c>
      <c r="N36" s="311" t="s">
        <v>83</v>
      </c>
      <c r="O36" s="315" t="s">
        <v>304</v>
      </c>
      <c r="P36" s="315" t="s">
        <v>63</v>
      </c>
      <c r="Q36" s="367" t="s">
        <v>299</v>
      </c>
      <c r="R36" s="315" t="s">
        <v>308</v>
      </c>
      <c r="S36" s="315" t="s">
        <v>63</v>
      </c>
      <c r="T36" s="366" t="s">
        <v>331</v>
      </c>
      <c r="U36" s="315">
        <v>3</v>
      </c>
      <c r="V36" s="330" t="s">
        <v>120</v>
      </c>
      <c r="W36" s="315">
        <v>4</v>
      </c>
      <c r="X36" s="315" t="s">
        <v>137</v>
      </c>
      <c r="Y36" s="315" t="s">
        <v>316</v>
      </c>
      <c r="Z36" s="315" t="s">
        <v>317</v>
      </c>
      <c r="AA36" s="330" t="s">
        <v>120</v>
      </c>
      <c r="AB36" s="330" t="s">
        <v>120</v>
      </c>
      <c r="AC36" s="330" t="s">
        <v>120</v>
      </c>
      <c r="AD36" s="315">
        <v>1</v>
      </c>
      <c r="AE36" s="315" t="s">
        <v>120</v>
      </c>
      <c r="AF36" s="315" t="s">
        <v>120</v>
      </c>
      <c r="AG36" s="315" t="s">
        <v>121</v>
      </c>
      <c r="AH36" s="303" t="s">
        <v>312</v>
      </c>
      <c r="AI36" s="301" t="s">
        <v>83</v>
      </c>
      <c r="AJ36" s="301" t="s">
        <v>286</v>
      </c>
      <c r="AK36" s="301" t="s">
        <v>83</v>
      </c>
      <c r="AL36" s="307" t="s">
        <v>314</v>
      </c>
      <c r="AM36" s="301" t="s">
        <v>288</v>
      </c>
      <c r="AN36" s="311" t="s">
        <v>83</v>
      </c>
      <c r="AO36" s="307" t="s">
        <v>290</v>
      </c>
      <c r="AP36" s="307" t="s">
        <v>83</v>
      </c>
      <c r="AQ36" s="307" t="s">
        <v>315</v>
      </c>
      <c r="AR36" s="307" t="s">
        <v>293</v>
      </c>
      <c r="AS36" s="307" t="s">
        <v>83</v>
      </c>
      <c r="AT36" s="311" t="s">
        <v>91</v>
      </c>
      <c r="AU36" s="333" t="s">
        <v>26</v>
      </c>
      <c r="AV36" s="364" t="str">
        <f t="shared" si="0"/>
        <v>Config - 43, UHF x C Link, UHF LNA-1, UHF DA-4, Ch EPC - M, DP IP port - 4, Ch Card - M2, Router - M, CDU - M, Sy EPC - M, DP OP port - 1, Sy Card - M, UHF x C U/C - 1, UHF x C C SSPA - 1</v>
      </c>
      <c r="AW36" s="71"/>
      <c r="AX36" s="71"/>
      <c r="AY36" s="71"/>
      <c r="AZ36" s="71"/>
      <c r="BA36" s="71"/>
      <c r="BB36" s="71"/>
      <c r="BC36" s="71"/>
      <c r="BD36" s="71"/>
      <c r="BE36" s="71"/>
    </row>
    <row r="37" spans="1:57" ht="57" thickBot="1" x14ac:dyDescent="0.3">
      <c r="A37" s="368">
        <v>44</v>
      </c>
      <c r="B37" s="387">
        <v>44</v>
      </c>
      <c r="C37" s="388">
        <v>308.109375</v>
      </c>
      <c r="D37" s="388">
        <v>4181.109375</v>
      </c>
      <c r="E37" s="389">
        <v>5</v>
      </c>
      <c r="F37" s="372"/>
      <c r="G37" s="372" t="s">
        <v>253</v>
      </c>
      <c r="H37" s="373" t="s">
        <v>254</v>
      </c>
      <c r="I37" s="372" t="s">
        <v>83</v>
      </c>
      <c r="J37" s="372" t="s">
        <v>295</v>
      </c>
      <c r="K37" s="373" t="s">
        <v>256</v>
      </c>
      <c r="L37" s="372" t="s">
        <v>83</v>
      </c>
      <c r="M37" s="374" t="s">
        <v>258</v>
      </c>
      <c r="N37" s="372" t="s">
        <v>83</v>
      </c>
      <c r="O37" s="375" t="s">
        <v>304</v>
      </c>
      <c r="P37" s="375" t="s">
        <v>63</v>
      </c>
      <c r="Q37" s="376" t="s">
        <v>299</v>
      </c>
      <c r="R37" s="375" t="s">
        <v>308</v>
      </c>
      <c r="S37" s="375" t="s">
        <v>63</v>
      </c>
      <c r="T37" s="377" t="s">
        <v>331</v>
      </c>
      <c r="U37" s="375">
        <v>3</v>
      </c>
      <c r="V37" s="369" t="s">
        <v>120</v>
      </c>
      <c r="W37" s="375">
        <v>4</v>
      </c>
      <c r="X37" s="375" t="s">
        <v>137</v>
      </c>
      <c r="Y37" s="375" t="s">
        <v>316</v>
      </c>
      <c r="Z37" s="375" t="s">
        <v>317</v>
      </c>
      <c r="AA37" s="369" t="s">
        <v>120</v>
      </c>
      <c r="AB37" s="369" t="s">
        <v>120</v>
      </c>
      <c r="AC37" s="369" t="s">
        <v>120</v>
      </c>
      <c r="AD37" s="375">
        <v>1</v>
      </c>
      <c r="AE37" s="375" t="s">
        <v>120</v>
      </c>
      <c r="AF37" s="375" t="s">
        <v>120</v>
      </c>
      <c r="AG37" s="375" t="s">
        <v>121</v>
      </c>
      <c r="AH37" s="378" t="s">
        <v>312</v>
      </c>
      <c r="AI37" s="374" t="s">
        <v>83</v>
      </c>
      <c r="AJ37" s="374" t="s">
        <v>286</v>
      </c>
      <c r="AK37" s="374" t="s">
        <v>83</v>
      </c>
      <c r="AL37" s="373" t="s">
        <v>314</v>
      </c>
      <c r="AM37" s="374" t="s">
        <v>288</v>
      </c>
      <c r="AN37" s="372" t="s">
        <v>83</v>
      </c>
      <c r="AO37" s="373" t="s">
        <v>290</v>
      </c>
      <c r="AP37" s="373" t="s">
        <v>83</v>
      </c>
      <c r="AQ37" s="373" t="s">
        <v>315</v>
      </c>
      <c r="AR37" s="373" t="s">
        <v>293</v>
      </c>
      <c r="AS37" s="373" t="s">
        <v>83</v>
      </c>
      <c r="AT37" s="372" t="s">
        <v>91</v>
      </c>
      <c r="AU37" s="379" t="s">
        <v>26</v>
      </c>
      <c r="AV37" s="364" t="str">
        <f t="shared" si="0"/>
        <v>Config - 44, UHF x C Link, UHF LNA-1, UHF DA-4, Ch EPC - M, DP IP port - 4, Ch Card - M2, Router - M, CDU - M, Sy EPC - M, DP OP port - 1, Sy Card - M, UHF x C U/C - 1, UHF x C C SSPA - 1</v>
      </c>
      <c r="AW37" s="71"/>
      <c r="AX37" s="71"/>
      <c r="AY37" s="71"/>
      <c r="AZ37" s="71"/>
      <c r="BA37" s="71"/>
      <c r="BB37" s="71"/>
      <c r="BC37" s="71"/>
      <c r="BD37" s="71"/>
      <c r="BE37" s="71"/>
    </row>
    <row r="38" spans="1:57" ht="56.25" x14ac:dyDescent="0.25">
      <c r="A38" s="321">
        <v>45</v>
      </c>
      <c r="B38" s="390">
        <v>45</v>
      </c>
      <c r="C38" s="391">
        <v>297.00234399999999</v>
      </c>
      <c r="D38" s="391">
        <v>4170.0023440000004</v>
      </c>
      <c r="E38" s="392">
        <v>25</v>
      </c>
      <c r="F38" s="324"/>
      <c r="G38" s="324" t="s">
        <v>253</v>
      </c>
      <c r="H38" s="325" t="s">
        <v>254</v>
      </c>
      <c r="I38" s="324" t="s">
        <v>83</v>
      </c>
      <c r="J38" s="324" t="s">
        <v>295</v>
      </c>
      <c r="K38" s="325" t="s">
        <v>256</v>
      </c>
      <c r="L38" s="324" t="s">
        <v>83</v>
      </c>
      <c r="M38" s="326" t="s">
        <v>258</v>
      </c>
      <c r="N38" s="324" t="s">
        <v>83</v>
      </c>
      <c r="O38" s="340" t="s">
        <v>303</v>
      </c>
      <c r="P38" s="340" t="s">
        <v>63</v>
      </c>
      <c r="Q38" s="322" t="s">
        <v>297</v>
      </c>
      <c r="R38" s="340" t="s">
        <v>307</v>
      </c>
      <c r="S38" s="340" t="s">
        <v>63</v>
      </c>
      <c r="T38" s="363" t="s">
        <v>331</v>
      </c>
      <c r="U38" s="340">
        <v>4</v>
      </c>
      <c r="V38" s="322" t="s">
        <v>120</v>
      </c>
      <c r="W38" s="340">
        <v>2</v>
      </c>
      <c r="X38" s="340" t="s">
        <v>209</v>
      </c>
      <c r="Y38" s="352" t="s">
        <v>316</v>
      </c>
      <c r="Z38" s="340" t="s">
        <v>317</v>
      </c>
      <c r="AA38" s="322" t="s">
        <v>120</v>
      </c>
      <c r="AB38" s="322" t="s">
        <v>120</v>
      </c>
      <c r="AC38" s="322" t="s">
        <v>120</v>
      </c>
      <c r="AD38" s="340">
        <v>1</v>
      </c>
      <c r="AE38" s="340" t="s">
        <v>120</v>
      </c>
      <c r="AF38" s="340" t="s">
        <v>120</v>
      </c>
      <c r="AG38" s="340" t="s">
        <v>121</v>
      </c>
      <c r="AH38" s="327" t="s">
        <v>312</v>
      </c>
      <c r="AI38" s="326" t="s">
        <v>83</v>
      </c>
      <c r="AJ38" s="326" t="s">
        <v>286</v>
      </c>
      <c r="AK38" s="326" t="s">
        <v>83</v>
      </c>
      <c r="AL38" s="325" t="s">
        <v>314</v>
      </c>
      <c r="AM38" s="326" t="s">
        <v>288</v>
      </c>
      <c r="AN38" s="324" t="s">
        <v>83</v>
      </c>
      <c r="AO38" s="325" t="s">
        <v>290</v>
      </c>
      <c r="AP38" s="325" t="s">
        <v>83</v>
      </c>
      <c r="AQ38" s="325" t="s">
        <v>315</v>
      </c>
      <c r="AR38" s="325" t="s">
        <v>293</v>
      </c>
      <c r="AS38" s="325" t="s">
        <v>83</v>
      </c>
      <c r="AT38" s="324" t="s">
        <v>91</v>
      </c>
      <c r="AU38" s="329" t="s">
        <v>26</v>
      </c>
      <c r="AV38" s="364" t="str">
        <f t="shared" si="0"/>
        <v>Config - 45, UHF x C Link, UHF LNA-1, UHF DA-2, Ch EPC - M, DP IP port - 2, Ch Card - M1, Router - M, CDU - M, Sy EPC - M, DP OP port - 1, Sy Card - M, UHF x C U/C - 1, UHF x C C SSPA - 1</v>
      </c>
      <c r="AW38" s="71"/>
      <c r="AX38" s="71"/>
      <c r="AY38" s="71"/>
      <c r="AZ38" s="71"/>
      <c r="BA38" s="71"/>
      <c r="BB38" s="71"/>
      <c r="BC38" s="71"/>
      <c r="BD38" s="71"/>
      <c r="BE38" s="71"/>
    </row>
    <row r="39" spans="1:57" ht="56.25" x14ac:dyDescent="0.25">
      <c r="A39" s="287">
        <v>46</v>
      </c>
      <c r="B39" s="367">
        <v>46</v>
      </c>
      <c r="C39" s="393">
        <v>298.87109400000003</v>
      </c>
      <c r="D39" s="393">
        <v>4171.8710940000001</v>
      </c>
      <c r="E39" s="394">
        <v>5</v>
      </c>
      <c r="F39" s="311"/>
      <c r="G39" s="311" t="s">
        <v>253</v>
      </c>
      <c r="H39" s="307" t="s">
        <v>254</v>
      </c>
      <c r="I39" s="311" t="s">
        <v>83</v>
      </c>
      <c r="J39" s="311" t="s">
        <v>295</v>
      </c>
      <c r="K39" s="307" t="s">
        <v>256</v>
      </c>
      <c r="L39" s="311" t="s">
        <v>83</v>
      </c>
      <c r="M39" s="301" t="s">
        <v>258</v>
      </c>
      <c r="N39" s="311" t="s">
        <v>83</v>
      </c>
      <c r="O39" s="300" t="s">
        <v>303</v>
      </c>
      <c r="P39" s="300" t="s">
        <v>63</v>
      </c>
      <c r="Q39" s="336" t="s">
        <v>297</v>
      </c>
      <c r="R39" s="300" t="s">
        <v>307</v>
      </c>
      <c r="S39" s="300" t="s">
        <v>63</v>
      </c>
      <c r="T39" s="366" t="s">
        <v>331</v>
      </c>
      <c r="U39" s="300">
        <v>4</v>
      </c>
      <c r="V39" s="330" t="s">
        <v>120</v>
      </c>
      <c r="W39" s="300">
        <v>2</v>
      </c>
      <c r="X39" s="300" t="s">
        <v>209</v>
      </c>
      <c r="Y39" s="305" t="s">
        <v>316</v>
      </c>
      <c r="Z39" s="300" t="s">
        <v>317</v>
      </c>
      <c r="AA39" s="330" t="s">
        <v>120</v>
      </c>
      <c r="AB39" s="330" t="s">
        <v>120</v>
      </c>
      <c r="AC39" s="330" t="s">
        <v>120</v>
      </c>
      <c r="AD39" s="300">
        <v>1</v>
      </c>
      <c r="AE39" s="300" t="s">
        <v>120</v>
      </c>
      <c r="AF39" s="300" t="s">
        <v>120</v>
      </c>
      <c r="AG39" s="300" t="s">
        <v>121</v>
      </c>
      <c r="AH39" s="303" t="s">
        <v>312</v>
      </c>
      <c r="AI39" s="301" t="s">
        <v>83</v>
      </c>
      <c r="AJ39" s="301" t="s">
        <v>286</v>
      </c>
      <c r="AK39" s="301" t="s">
        <v>83</v>
      </c>
      <c r="AL39" s="307" t="s">
        <v>314</v>
      </c>
      <c r="AM39" s="301" t="s">
        <v>288</v>
      </c>
      <c r="AN39" s="311" t="s">
        <v>83</v>
      </c>
      <c r="AO39" s="307" t="s">
        <v>290</v>
      </c>
      <c r="AP39" s="307" t="s">
        <v>83</v>
      </c>
      <c r="AQ39" s="307" t="s">
        <v>315</v>
      </c>
      <c r="AR39" s="307" t="s">
        <v>293</v>
      </c>
      <c r="AS39" s="307" t="s">
        <v>83</v>
      </c>
      <c r="AT39" s="311" t="s">
        <v>91</v>
      </c>
      <c r="AU39" s="333" t="s">
        <v>26</v>
      </c>
      <c r="AV39" s="364" t="str">
        <f t="shared" si="0"/>
        <v>Config - 46, UHF x C Link, UHF LNA-1, UHF DA-2, Ch EPC - M, DP IP port - 2, Ch Card - M1, Router - M, CDU - M, Sy EPC - M, DP OP port - 1, Sy Card - M, UHF x C U/C - 1, UHF x C C SSPA - 1</v>
      </c>
      <c r="AW39" s="71"/>
      <c r="AX39" s="71"/>
      <c r="AY39" s="71"/>
      <c r="AZ39" s="71"/>
      <c r="BA39" s="71"/>
      <c r="BB39" s="71"/>
      <c r="BC39" s="71"/>
      <c r="BD39" s="71"/>
      <c r="BE39" s="71"/>
    </row>
    <row r="40" spans="1:57" ht="56.25" x14ac:dyDescent="0.25">
      <c r="A40" s="287">
        <v>47</v>
      </c>
      <c r="B40" s="367">
        <v>47</v>
      </c>
      <c r="C40" s="393">
        <v>298.89140600000002</v>
      </c>
      <c r="D40" s="393">
        <v>4171.8914059999997</v>
      </c>
      <c r="E40" s="394">
        <v>5</v>
      </c>
      <c r="F40" s="311"/>
      <c r="G40" s="311" t="s">
        <v>253</v>
      </c>
      <c r="H40" s="307" t="s">
        <v>254</v>
      </c>
      <c r="I40" s="311" t="s">
        <v>83</v>
      </c>
      <c r="J40" s="311" t="s">
        <v>295</v>
      </c>
      <c r="K40" s="307" t="s">
        <v>256</v>
      </c>
      <c r="L40" s="311" t="s">
        <v>83</v>
      </c>
      <c r="M40" s="301" t="s">
        <v>258</v>
      </c>
      <c r="N40" s="311" t="s">
        <v>83</v>
      </c>
      <c r="O40" s="300" t="s">
        <v>303</v>
      </c>
      <c r="P40" s="300" t="s">
        <v>63</v>
      </c>
      <c r="Q40" s="336" t="s">
        <v>297</v>
      </c>
      <c r="R40" s="300" t="s">
        <v>307</v>
      </c>
      <c r="S40" s="300" t="s">
        <v>63</v>
      </c>
      <c r="T40" s="366" t="s">
        <v>331</v>
      </c>
      <c r="U40" s="300">
        <v>4</v>
      </c>
      <c r="V40" s="330" t="s">
        <v>120</v>
      </c>
      <c r="W40" s="300">
        <v>2</v>
      </c>
      <c r="X40" s="300" t="s">
        <v>209</v>
      </c>
      <c r="Y40" s="305" t="s">
        <v>316</v>
      </c>
      <c r="Z40" s="300" t="s">
        <v>317</v>
      </c>
      <c r="AA40" s="330" t="s">
        <v>120</v>
      </c>
      <c r="AB40" s="330" t="s">
        <v>120</v>
      </c>
      <c r="AC40" s="330" t="s">
        <v>120</v>
      </c>
      <c r="AD40" s="300">
        <v>1</v>
      </c>
      <c r="AE40" s="300" t="s">
        <v>120</v>
      </c>
      <c r="AF40" s="300" t="s">
        <v>120</v>
      </c>
      <c r="AG40" s="300" t="s">
        <v>121</v>
      </c>
      <c r="AH40" s="303" t="s">
        <v>312</v>
      </c>
      <c r="AI40" s="301" t="s">
        <v>83</v>
      </c>
      <c r="AJ40" s="301" t="s">
        <v>286</v>
      </c>
      <c r="AK40" s="301" t="s">
        <v>83</v>
      </c>
      <c r="AL40" s="307" t="s">
        <v>314</v>
      </c>
      <c r="AM40" s="301" t="s">
        <v>288</v>
      </c>
      <c r="AN40" s="311" t="s">
        <v>83</v>
      </c>
      <c r="AO40" s="307" t="s">
        <v>290</v>
      </c>
      <c r="AP40" s="307" t="s">
        <v>83</v>
      </c>
      <c r="AQ40" s="307" t="s">
        <v>315</v>
      </c>
      <c r="AR40" s="307" t="s">
        <v>293</v>
      </c>
      <c r="AS40" s="307" t="s">
        <v>83</v>
      </c>
      <c r="AT40" s="311" t="s">
        <v>91</v>
      </c>
      <c r="AU40" s="333" t="s">
        <v>26</v>
      </c>
      <c r="AV40" s="364" t="str">
        <f t="shared" si="0"/>
        <v>Config - 47, UHF x C Link, UHF LNA-1, UHF DA-2, Ch EPC - M, DP IP port - 2, Ch Card - M1, Router - M, CDU - M, Sy EPC - M, DP OP port - 1, Sy Card - M, UHF x C U/C - 1, UHF x C C SSPA - 1</v>
      </c>
      <c r="AW40" s="71"/>
      <c r="AX40" s="71"/>
      <c r="AY40" s="71"/>
      <c r="AZ40" s="71"/>
      <c r="BA40" s="71"/>
      <c r="BB40" s="71"/>
      <c r="BC40" s="71"/>
      <c r="BD40" s="71"/>
      <c r="BE40" s="71"/>
    </row>
    <row r="41" spans="1:57" ht="56.25" x14ac:dyDescent="0.25">
      <c r="A41" s="287">
        <v>48</v>
      </c>
      <c r="B41" s="367">
        <v>48</v>
      </c>
      <c r="C41" s="393">
        <v>298.91171900000001</v>
      </c>
      <c r="D41" s="393">
        <v>4171.9117189999997</v>
      </c>
      <c r="E41" s="394">
        <v>5</v>
      </c>
      <c r="F41" s="311"/>
      <c r="G41" s="311" t="s">
        <v>253</v>
      </c>
      <c r="H41" s="307" t="s">
        <v>254</v>
      </c>
      <c r="I41" s="311" t="s">
        <v>83</v>
      </c>
      <c r="J41" s="311" t="s">
        <v>295</v>
      </c>
      <c r="K41" s="307" t="s">
        <v>256</v>
      </c>
      <c r="L41" s="311" t="s">
        <v>83</v>
      </c>
      <c r="M41" s="301" t="s">
        <v>258</v>
      </c>
      <c r="N41" s="311" t="s">
        <v>83</v>
      </c>
      <c r="O41" s="300" t="s">
        <v>303</v>
      </c>
      <c r="P41" s="300" t="s">
        <v>63</v>
      </c>
      <c r="Q41" s="336" t="s">
        <v>297</v>
      </c>
      <c r="R41" s="300" t="s">
        <v>307</v>
      </c>
      <c r="S41" s="300" t="s">
        <v>63</v>
      </c>
      <c r="T41" s="366" t="s">
        <v>331</v>
      </c>
      <c r="U41" s="300">
        <v>4</v>
      </c>
      <c r="V41" s="330" t="s">
        <v>120</v>
      </c>
      <c r="W41" s="300">
        <v>2</v>
      </c>
      <c r="X41" s="300" t="s">
        <v>209</v>
      </c>
      <c r="Y41" s="305" t="s">
        <v>316</v>
      </c>
      <c r="Z41" s="300" t="s">
        <v>317</v>
      </c>
      <c r="AA41" s="330" t="s">
        <v>120</v>
      </c>
      <c r="AB41" s="330" t="s">
        <v>120</v>
      </c>
      <c r="AC41" s="330" t="s">
        <v>120</v>
      </c>
      <c r="AD41" s="300">
        <v>1</v>
      </c>
      <c r="AE41" s="300" t="s">
        <v>120</v>
      </c>
      <c r="AF41" s="300" t="s">
        <v>120</v>
      </c>
      <c r="AG41" s="300" t="s">
        <v>121</v>
      </c>
      <c r="AH41" s="303" t="s">
        <v>312</v>
      </c>
      <c r="AI41" s="301" t="s">
        <v>83</v>
      </c>
      <c r="AJ41" s="301" t="s">
        <v>286</v>
      </c>
      <c r="AK41" s="301" t="s">
        <v>83</v>
      </c>
      <c r="AL41" s="307" t="s">
        <v>314</v>
      </c>
      <c r="AM41" s="301" t="s">
        <v>288</v>
      </c>
      <c r="AN41" s="311" t="s">
        <v>83</v>
      </c>
      <c r="AO41" s="307" t="s">
        <v>290</v>
      </c>
      <c r="AP41" s="307" t="s">
        <v>83</v>
      </c>
      <c r="AQ41" s="307" t="s">
        <v>315</v>
      </c>
      <c r="AR41" s="307" t="s">
        <v>293</v>
      </c>
      <c r="AS41" s="307" t="s">
        <v>83</v>
      </c>
      <c r="AT41" s="311" t="s">
        <v>91</v>
      </c>
      <c r="AU41" s="333" t="s">
        <v>26</v>
      </c>
      <c r="AV41" s="364" t="str">
        <f t="shared" si="0"/>
        <v>Config - 48, UHF x C Link, UHF LNA-1, UHF DA-2, Ch EPC - M, DP IP port - 2, Ch Card - M1, Router - M, CDU - M, Sy EPC - M, DP OP port - 1, Sy Card - M, UHF x C U/C - 1, UHF x C C SSPA - 1</v>
      </c>
      <c r="AW41" s="71"/>
      <c r="AX41" s="71"/>
      <c r="AY41" s="71"/>
      <c r="AZ41" s="71"/>
      <c r="BA41" s="71"/>
      <c r="BB41" s="71"/>
      <c r="BC41" s="71"/>
      <c r="BD41" s="71"/>
      <c r="BE41" s="71"/>
    </row>
    <row r="42" spans="1:57" ht="56.25" x14ac:dyDescent="0.25">
      <c r="A42" s="287">
        <v>49</v>
      </c>
      <c r="B42" s="367">
        <v>49</v>
      </c>
      <c r="C42" s="393">
        <v>298.93203099999999</v>
      </c>
      <c r="D42" s="393">
        <v>4171.9320310000003</v>
      </c>
      <c r="E42" s="394">
        <v>5</v>
      </c>
      <c r="F42" s="311"/>
      <c r="G42" s="311" t="s">
        <v>253</v>
      </c>
      <c r="H42" s="307" t="s">
        <v>254</v>
      </c>
      <c r="I42" s="311" t="s">
        <v>83</v>
      </c>
      <c r="J42" s="311" t="s">
        <v>295</v>
      </c>
      <c r="K42" s="307" t="s">
        <v>256</v>
      </c>
      <c r="L42" s="311" t="s">
        <v>83</v>
      </c>
      <c r="M42" s="301" t="s">
        <v>258</v>
      </c>
      <c r="N42" s="311" t="s">
        <v>83</v>
      </c>
      <c r="O42" s="300" t="s">
        <v>303</v>
      </c>
      <c r="P42" s="300" t="s">
        <v>63</v>
      </c>
      <c r="Q42" s="336" t="s">
        <v>297</v>
      </c>
      <c r="R42" s="300" t="s">
        <v>307</v>
      </c>
      <c r="S42" s="300" t="s">
        <v>63</v>
      </c>
      <c r="T42" s="366" t="s">
        <v>331</v>
      </c>
      <c r="U42" s="300">
        <v>4</v>
      </c>
      <c r="V42" s="330" t="s">
        <v>120</v>
      </c>
      <c r="W42" s="300">
        <v>2</v>
      </c>
      <c r="X42" s="300" t="s">
        <v>209</v>
      </c>
      <c r="Y42" s="305" t="s">
        <v>316</v>
      </c>
      <c r="Z42" s="300" t="s">
        <v>317</v>
      </c>
      <c r="AA42" s="330" t="s">
        <v>120</v>
      </c>
      <c r="AB42" s="330" t="s">
        <v>120</v>
      </c>
      <c r="AC42" s="330" t="s">
        <v>120</v>
      </c>
      <c r="AD42" s="300">
        <v>1</v>
      </c>
      <c r="AE42" s="300" t="s">
        <v>120</v>
      </c>
      <c r="AF42" s="300" t="s">
        <v>120</v>
      </c>
      <c r="AG42" s="300" t="s">
        <v>121</v>
      </c>
      <c r="AH42" s="303" t="s">
        <v>312</v>
      </c>
      <c r="AI42" s="301" t="s">
        <v>83</v>
      </c>
      <c r="AJ42" s="301" t="s">
        <v>286</v>
      </c>
      <c r="AK42" s="301" t="s">
        <v>83</v>
      </c>
      <c r="AL42" s="307" t="s">
        <v>314</v>
      </c>
      <c r="AM42" s="301" t="s">
        <v>288</v>
      </c>
      <c r="AN42" s="311" t="s">
        <v>83</v>
      </c>
      <c r="AO42" s="307" t="s">
        <v>290</v>
      </c>
      <c r="AP42" s="307" t="s">
        <v>83</v>
      </c>
      <c r="AQ42" s="307" t="s">
        <v>315</v>
      </c>
      <c r="AR42" s="307" t="s">
        <v>293</v>
      </c>
      <c r="AS42" s="307" t="s">
        <v>83</v>
      </c>
      <c r="AT42" s="311" t="s">
        <v>91</v>
      </c>
      <c r="AU42" s="333" t="s">
        <v>26</v>
      </c>
      <c r="AV42" s="364" t="str">
        <f t="shared" si="0"/>
        <v>Config - 49, UHF x C Link, UHF LNA-1, UHF DA-2, Ch EPC - M, DP IP port - 2, Ch Card - M1, Router - M, CDU - M, Sy EPC - M, DP OP port - 1, Sy Card - M, UHF x C U/C - 1, UHF x C C SSPA - 1</v>
      </c>
      <c r="AW42" s="71"/>
      <c r="AX42" s="71"/>
      <c r="AY42" s="71"/>
      <c r="AZ42" s="71"/>
      <c r="BA42" s="71"/>
      <c r="BB42" s="71"/>
      <c r="BC42" s="71"/>
      <c r="BD42" s="71"/>
      <c r="BE42" s="71"/>
    </row>
    <row r="43" spans="1:57" ht="56.25" x14ac:dyDescent="0.25">
      <c r="A43" s="287">
        <v>50</v>
      </c>
      <c r="B43" s="367">
        <v>50</v>
      </c>
      <c r="C43" s="393">
        <v>298.95234399999998</v>
      </c>
      <c r="D43" s="393">
        <v>4171.9523440000003</v>
      </c>
      <c r="E43" s="394">
        <v>5</v>
      </c>
      <c r="F43" s="311"/>
      <c r="G43" s="311" t="s">
        <v>253</v>
      </c>
      <c r="H43" s="307" t="s">
        <v>254</v>
      </c>
      <c r="I43" s="311" t="s">
        <v>83</v>
      </c>
      <c r="J43" s="311" t="s">
        <v>295</v>
      </c>
      <c r="K43" s="307" t="s">
        <v>256</v>
      </c>
      <c r="L43" s="311" t="s">
        <v>83</v>
      </c>
      <c r="M43" s="301" t="s">
        <v>258</v>
      </c>
      <c r="N43" s="311" t="s">
        <v>83</v>
      </c>
      <c r="O43" s="300" t="s">
        <v>303</v>
      </c>
      <c r="P43" s="300" t="s">
        <v>63</v>
      </c>
      <c r="Q43" s="336" t="s">
        <v>297</v>
      </c>
      <c r="R43" s="300" t="s">
        <v>307</v>
      </c>
      <c r="S43" s="300" t="s">
        <v>63</v>
      </c>
      <c r="T43" s="366" t="s">
        <v>331</v>
      </c>
      <c r="U43" s="300">
        <v>4</v>
      </c>
      <c r="V43" s="330" t="s">
        <v>120</v>
      </c>
      <c r="W43" s="300">
        <v>2</v>
      </c>
      <c r="X43" s="300" t="s">
        <v>209</v>
      </c>
      <c r="Y43" s="305" t="s">
        <v>316</v>
      </c>
      <c r="Z43" s="300" t="s">
        <v>317</v>
      </c>
      <c r="AA43" s="330" t="s">
        <v>120</v>
      </c>
      <c r="AB43" s="330" t="s">
        <v>120</v>
      </c>
      <c r="AC43" s="330" t="s">
        <v>120</v>
      </c>
      <c r="AD43" s="300">
        <v>1</v>
      </c>
      <c r="AE43" s="300" t="s">
        <v>120</v>
      </c>
      <c r="AF43" s="300" t="s">
        <v>120</v>
      </c>
      <c r="AG43" s="300" t="s">
        <v>121</v>
      </c>
      <c r="AH43" s="303" t="s">
        <v>312</v>
      </c>
      <c r="AI43" s="301" t="s">
        <v>83</v>
      </c>
      <c r="AJ43" s="301" t="s">
        <v>286</v>
      </c>
      <c r="AK43" s="301" t="s">
        <v>83</v>
      </c>
      <c r="AL43" s="307" t="s">
        <v>314</v>
      </c>
      <c r="AM43" s="301" t="s">
        <v>288</v>
      </c>
      <c r="AN43" s="311" t="s">
        <v>83</v>
      </c>
      <c r="AO43" s="307" t="s">
        <v>290</v>
      </c>
      <c r="AP43" s="307" t="s">
        <v>83</v>
      </c>
      <c r="AQ43" s="307" t="s">
        <v>315</v>
      </c>
      <c r="AR43" s="307" t="s">
        <v>293</v>
      </c>
      <c r="AS43" s="307" t="s">
        <v>83</v>
      </c>
      <c r="AT43" s="311" t="s">
        <v>91</v>
      </c>
      <c r="AU43" s="333" t="s">
        <v>26</v>
      </c>
      <c r="AV43" s="364" t="str">
        <f t="shared" si="0"/>
        <v>Config - 50, UHF x C Link, UHF LNA-1, UHF DA-2, Ch EPC - M, DP IP port - 2, Ch Card - M1, Router - M, CDU - M, Sy EPC - M, DP OP port - 1, Sy Card - M, UHF x C U/C - 1, UHF x C C SSPA - 1</v>
      </c>
      <c r="AW43" s="71"/>
      <c r="AX43" s="71"/>
      <c r="AY43" s="71"/>
      <c r="AZ43" s="71"/>
      <c r="BA43" s="71"/>
      <c r="BB43" s="71"/>
      <c r="BC43" s="71"/>
      <c r="BD43" s="71"/>
      <c r="BE43" s="71"/>
    </row>
    <row r="44" spans="1:57" ht="56.25" x14ac:dyDescent="0.25">
      <c r="A44" s="287">
        <v>51</v>
      </c>
      <c r="B44" s="367">
        <v>51</v>
      </c>
      <c r="C44" s="393">
        <v>303.74921899999998</v>
      </c>
      <c r="D44" s="393">
        <v>4176.7492190000003</v>
      </c>
      <c r="E44" s="394">
        <v>25</v>
      </c>
      <c r="F44" s="311"/>
      <c r="G44" s="311" t="s">
        <v>253</v>
      </c>
      <c r="H44" s="307" t="s">
        <v>254</v>
      </c>
      <c r="I44" s="311" t="s">
        <v>83</v>
      </c>
      <c r="J44" s="311" t="s">
        <v>295</v>
      </c>
      <c r="K44" s="307" t="s">
        <v>256</v>
      </c>
      <c r="L44" s="311" t="s">
        <v>83</v>
      </c>
      <c r="M44" s="301" t="s">
        <v>258</v>
      </c>
      <c r="N44" s="311" t="s">
        <v>83</v>
      </c>
      <c r="O44" s="317" t="s">
        <v>305</v>
      </c>
      <c r="P44" s="317" t="s">
        <v>63</v>
      </c>
      <c r="Q44" s="332" t="s">
        <v>298</v>
      </c>
      <c r="R44" s="317" t="s">
        <v>309</v>
      </c>
      <c r="S44" s="317" t="s">
        <v>63</v>
      </c>
      <c r="T44" s="366" t="s">
        <v>331</v>
      </c>
      <c r="U44" s="317">
        <v>4</v>
      </c>
      <c r="V44" s="330" t="s">
        <v>120</v>
      </c>
      <c r="W44" s="317">
        <v>3</v>
      </c>
      <c r="X44" s="317" t="s">
        <v>137</v>
      </c>
      <c r="Y44" s="313" t="s">
        <v>316</v>
      </c>
      <c r="Z44" s="317" t="s">
        <v>317</v>
      </c>
      <c r="AA44" s="330" t="s">
        <v>120</v>
      </c>
      <c r="AB44" s="330" t="s">
        <v>120</v>
      </c>
      <c r="AC44" s="330" t="s">
        <v>120</v>
      </c>
      <c r="AD44" s="317">
        <v>1</v>
      </c>
      <c r="AE44" s="317" t="s">
        <v>120</v>
      </c>
      <c r="AF44" s="317" t="s">
        <v>120</v>
      </c>
      <c r="AG44" s="317" t="s">
        <v>121</v>
      </c>
      <c r="AH44" s="303" t="s">
        <v>312</v>
      </c>
      <c r="AI44" s="301" t="s">
        <v>83</v>
      </c>
      <c r="AJ44" s="301" t="s">
        <v>286</v>
      </c>
      <c r="AK44" s="301" t="s">
        <v>83</v>
      </c>
      <c r="AL44" s="307" t="s">
        <v>314</v>
      </c>
      <c r="AM44" s="301" t="s">
        <v>288</v>
      </c>
      <c r="AN44" s="311" t="s">
        <v>83</v>
      </c>
      <c r="AO44" s="307" t="s">
        <v>290</v>
      </c>
      <c r="AP44" s="307" t="s">
        <v>83</v>
      </c>
      <c r="AQ44" s="307" t="s">
        <v>315</v>
      </c>
      <c r="AR44" s="307" t="s">
        <v>293</v>
      </c>
      <c r="AS44" s="307" t="s">
        <v>83</v>
      </c>
      <c r="AT44" s="311" t="s">
        <v>91</v>
      </c>
      <c r="AU44" s="333" t="s">
        <v>26</v>
      </c>
      <c r="AV44" s="364" t="str">
        <f t="shared" si="0"/>
        <v>Config - 51, UHF x C Link, UHF LNA-1, UHF DA-3, Ch EPC - M, DP IP port - 3, Ch Card - M2, Router - M, CDU - M, Sy EPC - M, DP OP port - 1, Sy Card - M, UHF x C U/C - 1, UHF x C C SSPA - 1</v>
      </c>
      <c r="AW44" s="71"/>
      <c r="AX44" s="71"/>
      <c r="AY44" s="71"/>
      <c r="AZ44" s="71"/>
      <c r="BA44" s="71"/>
      <c r="BB44" s="71"/>
      <c r="BC44" s="71"/>
      <c r="BD44" s="71"/>
      <c r="BE44" s="71"/>
    </row>
    <row r="45" spans="1:57" ht="56.25" x14ac:dyDescent="0.25">
      <c r="A45" s="287">
        <v>52</v>
      </c>
      <c r="B45" s="367">
        <v>52</v>
      </c>
      <c r="C45" s="393">
        <v>313.01796899999999</v>
      </c>
      <c r="D45" s="393">
        <v>4166.0179690000004</v>
      </c>
      <c r="E45" s="394">
        <v>5</v>
      </c>
      <c r="F45" s="311"/>
      <c r="G45" s="311" t="s">
        <v>253</v>
      </c>
      <c r="H45" s="307" t="s">
        <v>254</v>
      </c>
      <c r="I45" s="311" t="s">
        <v>83</v>
      </c>
      <c r="J45" s="311" t="s">
        <v>295</v>
      </c>
      <c r="K45" s="307" t="s">
        <v>256</v>
      </c>
      <c r="L45" s="311" t="s">
        <v>83</v>
      </c>
      <c r="M45" s="301" t="s">
        <v>258</v>
      </c>
      <c r="N45" s="311" t="s">
        <v>83</v>
      </c>
      <c r="O45" s="315" t="s">
        <v>586</v>
      </c>
      <c r="P45" s="315" t="s">
        <v>63</v>
      </c>
      <c r="Q45" s="367" t="s">
        <v>301</v>
      </c>
      <c r="R45" s="315" t="s">
        <v>587</v>
      </c>
      <c r="S45" s="315" t="s">
        <v>250</v>
      </c>
      <c r="T45" s="366" t="s">
        <v>331</v>
      </c>
      <c r="U45" s="315">
        <v>4</v>
      </c>
      <c r="V45" s="330" t="s">
        <v>120</v>
      </c>
      <c r="W45" s="315">
        <v>4</v>
      </c>
      <c r="X45" s="315" t="s">
        <v>137</v>
      </c>
      <c r="Y45" s="353" t="s">
        <v>316</v>
      </c>
      <c r="Z45" s="315" t="s">
        <v>317</v>
      </c>
      <c r="AA45" s="330" t="s">
        <v>120</v>
      </c>
      <c r="AB45" s="330" t="s">
        <v>120</v>
      </c>
      <c r="AC45" s="330" t="s">
        <v>120</v>
      </c>
      <c r="AD45" s="315">
        <v>1</v>
      </c>
      <c r="AE45" s="315" t="s">
        <v>120</v>
      </c>
      <c r="AF45" s="315" t="s">
        <v>120</v>
      </c>
      <c r="AG45" s="315" t="s">
        <v>121</v>
      </c>
      <c r="AH45" s="303" t="s">
        <v>312</v>
      </c>
      <c r="AI45" s="301" t="s">
        <v>83</v>
      </c>
      <c r="AJ45" s="301" t="s">
        <v>286</v>
      </c>
      <c r="AK45" s="301" t="s">
        <v>83</v>
      </c>
      <c r="AL45" s="307" t="s">
        <v>314</v>
      </c>
      <c r="AM45" s="301" t="s">
        <v>288</v>
      </c>
      <c r="AN45" s="311" t="s">
        <v>83</v>
      </c>
      <c r="AO45" s="307" t="s">
        <v>290</v>
      </c>
      <c r="AP45" s="307" t="s">
        <v>83</v>
      </c>
      <c r="AQ45" s="307" t="s">
        <v>315</v>
      </c>
      <c r="AR45" s="307" t="s">
        <v>293</v>
      </c>
      <c r="AS45" s="307" t="s">
        <v>83</v>
      </c>
      <c r="AT45" s="311" t="s">
        <v>91</v>
      </c>
      <c r="AU45" s="333" t="s">
        <v>26</v>
      </c>
      <c r="AV45" s="364" t="str">
        <f t="shared" si="0"/>
        <v>Config - 52, UHF x C Link, UHF LNA-1, UHF DA-5, Ch EPC - M, DP IP port - 4, Ch Card - M2, Router - M, CDU - M, Sy EPC - M, DP OP port - 1, Sy Card - M, UHF x C U/C - 1, UHF x C C SSPA - 1</v>
      </c>
      <c r="AW45" s="71"/>
      <c r="AX45" s="71"/>
      <c r="AY45" s="71"/>
      <c r="AZ45" s="71"/>
      <c r="BA45" s="71"/>
      <c r="BB45" s="71"/>
      <c r="BC45" s="71"/>
      <c r="BD45" s="71"/>
      <c r="BE45" s="71"/>
    </row>
    <row r="46" spans="1:57" ht="56.25" x14ac:dyDescent="0.25">
      <c r="A46" s="287">
        <v>53</v>
      </c>
      <c r="B46" s="367">
        <v>53</v>
      </c>
      <c r="C46" s="393">
        <v>313.03828099999998</v>
      </c>
      <c r="D46" s="393">
        <v>4166.0382810000001</v>
      </c>
      <c r="E46" s="394">
        <v>5</v>
      </c>
      <c r="F46" s="311"/>
      <c r="G46" s="311" t="s">
        <v>253</v>
      </c>
      <c r="H46" s="307" t="s">
        <v>254</v>
      </c>
      <c r="I46" s="311" t="s">
        <v>83</v>
      </c>
      <c r="J46" s="311" t="s">
        <v>295</v>
      </c>
      <c r="K46" s="307" t="s">
        <v>256</v>
      </c>
      <c r="L46" s="311" t="s">
        <v>83</v>
      </c>
      <c r="M46" s="301" t="s">
        <v>258</v>
      </c>
      <c r="N46" s="311" t="s">
        <v>83</v>
      </c>
      <c r="O46" s="315" t="s">
        <v>586</v>
      </c>
      <c r="P46" s="315" t="s">
        <v>63</v>
      </c>
      <c r="Q46" s="367" t="s">
        <v>301</v>
      </c>
      <c r="R46" s="315" t="s">
        <v>587</v>
      </c>
      <c r="S46" s="315" t="s">
        <v>250</v>
      </c>
      <c r="T46" s="366" t="s">
        <v>331</v>
      </c>
      <c r="U46" s="315">
        <v>4</v>
      </c>
      <c r="V46" s="330" t="s">
        <v>120</v>
      </c>
      <c r="W46" s="315">
        <v>4</v>
      </c>
      <c r="X46" s="315" t="s">
        <v>137</v>
      </c>
      <c r="Y46" s="353" t="s">
        <v>316</v>
      </c>
      <c r="Z46" s="315" t="s">
        <v>317</v>
      </c>
      <c r="AA46" s="330" t="s">
        <v>120</v>
      </c>
      <c r="AB46" s="330" t="s">
        <v>120</v>
      </c>
      <c r="AC46" s="330" t="s">
        <v>120</v>
      </c>
      <c r="AD46" s="315">
        <v>1</v>
      </c>
      <c r="AE46" s="315" t="s">
        <v>120</v>
      </c>
      <c r="AF46" s="315" t="s">
        <v>120</v>
      </c>
      <c r="AG46" s="315" t="s">
        <v>121</v>
      </c>
      <c r="AH46" s="303" t="s">
        <v>312</v>
      </c>
      <c r="AI46" s="301" t="s">
        <v>83</v>
      </c>
      <c r="AJ46" s="301" t="s">
        <v>286</v>
      </c>
      <c r="AK46" s="301" t="s">
        <v>83</v>
      </c>
      <c r="AL46" s="307" t="s">
        <v>314</v>
      </c>
      <c r="AM46" s="301" t="s">
        <v>288</v>
      </c>
      <c r="AN46" s="311" t="s">
        <v>83</v>
      </c>
      <c r="AO46" s="307" t="s">
        <v>290</v>
      </c>
      <c r="AP46" s="307" t="s">
        <v>83</v>
      </c>
      <c r="AQ46" s="307" t="s">
        <v>315</v>
      </c>
      <c r="AR46" s="307" t="s">
        <v>293</v>
      </c>
      <c r="AS46" s="307" t="s">
        <v>83</v>
      </c>
      <c r="AT46" s="311" t="s">
        <v>91</v>
      </c>
      <c r="AU46" s="333" t="s">
        <v>26</v>
      </c>
      <c r="AV46" s="364" t="str">
        <f t="shared" si="0"/>
        <v>Config - 53, UHF x C Link, UHF LNA-1, UHF DA-5, Ch EPC - M, DP IP port - 4, Ch Card - M2, Router - M, CDU - M, Sy EPC - M, DP OP port - 1, Sy Card - M, UHF x C U/C - 1, UHF x C C SSPA - 1</v>
      </c>
      <c r="AW46" s="71"/>
      <c r="AX46" s="71"/>
      <c r="AY46" s="71"/>
      <c r="AZ46" s="71"/>
      <c r="BA46" s="71"/>
      <c r="BB46" s="71"/>
      <c r="BC46" s="71"/>
      <c r="BD46" s="71"/>
      <c r="BE46" s="71"/>
    </row>
    <row r="47" spans="1:57" ht="56.25" x14ac:dyDescent="0.25">
      <c r="A47" s="287">
        <v>54</v>
      </c>
      <c r="B47" s="367">
        <v>54</v>
      </c>
      <c r="C47" s="393">
        <v>313.05859400000003</v>
      </c>
      <c r="D47" s="393">
        <v>4166.0585940000001</v>
      </c>
      <c r="E47" s="394">
        <v>5</v>
      </c>
      <c r="F47" s="311"/>
      <c r="G47" s="311" t="s">
        <v>253</v>
      </c>
      <c r="H47" s="307" t="s">
        <v>254</v>
      </c>
      <c r="I47" s="311" t="s">
        <v>83</v>
      </c>
      <c r="J47" s="311" t="s">
        <v>295</v>
      </c>
      <c r="K47" s="307" t="s">
        <v>256</v>
      </c>
      <c r="L47" s="311" t="s">
        <v>83</v>
      </c>
      <c r="M47" s="301" t="s">
        <v>258</v>
      </c>
      <c r="N47" s="311" t="s">
        <v>83</v>
      </c>
      <c r="O47" s="315" t="s">
        <v>586</v>
      </c>
      <c r="P47" s="315" t="s">
        <v>63</v>
      </c>
      <c r="Q47" s="367" t="s">
        <v>301</v>
      </c>
      <c r="R47" s="315" t="s">
        <v>587</v>
      </c>
      <c r="S47" s="315" t="s">
        <v>250</v>
      </c>
      <c r="T47" s="366" t="s">
        <v>331</v>
      </c>
      <c r="U47" s="315">
        <v>4</v>
      </c>
      <c r="V47" s="330" t="s">
        <v>120</v>
      </c>
      <c r="W47" s="315">
        <v>4</v>
      </c>
      <c r="X47" s="315" t="s">
        <v>137</v>
      </c>
      <c r="Y47" s="353" t="s">
        <v>316</v>
      </c>
      <c r="Z47" s="315" t="s">
        <v>317</v>
      </c>
      <c r="AA47" s="330" t="s">
        <v>120</v>
      </c>
      <c r="AB47" s="330" t="s">
        <v>120</v>
      </c>
      <c r="AC47" s="330" t="s">
        <v>120</v>
      </c>
      <c r="AD47" s="315">
        <v>1</v>
      </c>
      <c r="AE47" s="315" t="s">
        <v>120</v>
      </c>
      <c r="AF47" s="315" t="s">
        <v>120</v>
      </c>
      <c r="AG47" s="315" t="s">
        <v>121</v>
      </c>
      <c r="AH47" s="303" t="s">
        <v>312</v>
      </c>
      <c r="AI47" s="301" t="s">
        <v>83</v>
      </c>
      <c r="AJ47" s="301" t="s">
        <v>286</v>
      </c>
      <c r="AK47" s="301" t="s">
        <v>83</v>
      </c>
      <c r="AL47" s="307" t="s">
        <v>314</v>
      </c>
      <c r="AM47" s="301" t="s">
        <v>288</v>
      </c>
      <c r="AN47" s="311" t="s">
        <v>83</v>
      </c>
      <c r="AO47" s="307" t="s">
        <v>290</v>
      </c>
      <c r="AP47" s="307" t="s">
        <v>83</v>
      </c>
      <c r="AQ47" s="307" t="s">
        <v>315</v>
      </c>
      <c r="AR47" s="307" t="s">
        <v>293</v>
      </c>
      <c r="AS47" s="307" t="s">
        <v>83</v>
      </c>
      <c r="AT47" s="311" t="s">
        <v>91</v>
      </c>
      <c r="AU47" s="333" t="s">
        <v>26</v>
      </c>
      <c r="AV47" s="364" t="str">
        <f t="shared" si="0"/>
        <v>Config - 54, UHF x C Link, UHF LNA-1, UHF DA-5, Ch EPC - M, DP IP port - 4, Ch Card - M2, Router - M, CDU - M, Sy EPC - M, DP OP port - 1, Sy Card - M, UHF x C U/C - 1, UHF x C C SSPA - 1</v>
      </c>
      <c r="AW47" s="71"/>
      <c r="AX47" s="71"/>
      <c r="AY47" s="71"/>
      <c r="AZ47" s="71"/>
      <c r="BA47" s="71"/>
      <c r="BB47" s="71"/>
      <c r="BC47" s="71"/>
      <c r="BD47" s="71"/>
      <c r="BE47" s="71"/>
    </row>
    <row r="48" spans="1:57" ht="56.25" x14ac:dyDescent="0.25">
      <c r="A48" s="287">
        <v>55</v>
      </c>
      <c r="B48" s="367">
        <v>55</v>
      </c>
      <c r="C48" s="393">
        <v>313.07890600000002</v>
      </c>
      <c r="D48" s="393">
        <v>4166.0789059999997</v>
      </c>
      <c r="E48" s="394">
        <v>5</v>
      </c>
      <c r="F48" s="311"/>
      <c r="G48" s="311" t="s">
        <v>253</v>
      </c>
      <c r="H48" s="307" t="s">
        <v>254</v>
      </c>
      <c r="I48" s="311" t="s">
        <v>83</v>
      </c>
      <c r="J48" s="311" t="s">
        <v>295</v>
      </c>
      <c r="K48" s="307" t="s">
        <v>256</v>
      </c>
      <c r="L48" s="311" t="s">
        <v>83</v>
      </c>
      <c r="M48" s="301" t="s">
        <v>258</v>
      </c>
      <c r="N48" s="311" t="s">
        <v>83</v>
      </c>
      <c r="O48" s="315" t="s">
        <v>586</v>
      </c>
      <c r="P48" s="315" t="s">
        <v>63</v>
      </c>
      <c r="Q48" s="367" t="s">
        <v>301</v>
      </c>
      <c r="R48" s="315" t="s">
        <v>587</v>
      </c>
      <c r="S48" s="315" t="s">
        <v>250</v>
      </c>
      <c r="T48" s="366" t="s">
        <v>331</v>
      </c>
      <c r="U48" s="315">
        <v>4</v>
      </c>
      <c r="V48" s="330" t="s">
        <v>120</v>
      </c>
      <c r="W48" s="315">
        <v>4</v>
      </c>
      <c r="X48" s="315" t="s">
        <v>137</v>
      </c>
      <c r="Y48" s="353" t="s">
        <v>316</v>
      </c>
      <c r="Z48" s="315" t="s">
        <v>317</v>
      </c>
      <c r="AA48" s="330" t="s">
        <v>120</v>
      </c>
      <c r="AB48" s="330" t="s">
        <v>120</v>
      </c>
      <c r="AC48" s="330" t="s">
        <v>120</v>
      </c>
      <c r="AD48" s="315">
        <v>1</v>
      </c>
      <c r="AE48" s="315" t="s">
        <v>120</v>
      </c>
      <c r="AF48" s="315" t="s">
        <v>120</v>
      </c>
      <c r="AG48" s="315" t="s">
        <v>121</v>
      </c>
      <c r="AH48" s="303" t="s">
        <v>312</v>
      </c>
      <c r="AI48" s="301" t="s">
        <v>83</v>
      </c>
      <c r="AJ48" s="301" t="s">
        <v>286</v>
      </c>
      <c r="AK48" s="301" t="s">
        <v>83</v>
      </c>
      <c r="AL48" s="307" t="s">
        <v>314</v>
      </c>
      <c r="AM48" s="301" t="s">
        <v>288</v>
      </c>
      <c r="AN48" s="311" t="s">
        <v>83</v>
      </c>
      <c r="AO48" s="307" t="s">
        <v>290</v>
      </c>
      <c r="AP48" s="307" t="s">
        <v>83</v>
      </c>
      <c r="AQ48" s="307" t="s">
        <v>315</v>
      </c>
      <c r="AR48" s="307" t="s">
        <v>293</v>
      </c>
      <c r="AS48" s="307" t="s">
        <v>83</v>
      </c>
      <c r="AT48" s="311" t="s">
        <v>91</v>
      </c>
      <c r="AU48" s="333" t="s">
        <v>26</v>
      </c>
      <c r="AV48" s="364" t="str">
        <f t="shared" si="0"/>
        <v>Config - 55, UHF x C Link, UHF LNA-1, UHF DA-5, Ch EPC - M, DP IP port - 4, Ch Card - M2, Router - M, CDU - M, Sy EPC - M, DP OP port - 1, Sy Card - M, UHF x C U/C - 1, UHF x C C SSPA - 1</v>
      </c>
      <c r="AW48" s="71"/>
      <c r="AX48" s="71"/>
      <c r="AY48" s="71"/>
      <c r="AZ48" s="71"/>
      <c r="BA48" s="71"/>
      <c r="BB48" s="71"/>
      <c r="BC48" s="71"/>
      <c r="BD48" s="71"/>
      <c r="BE48" s="71"/>
    </row>
    <row r="49" spans="1:57" ht="57" thickBot="1" x14ac:dyDescent="0.3">
      <c r="A49" s="368">
        <v>56</v>
      </c>
      <c r="B49" s="376">
        <v>56</v>
      </c>
      <c r="C49" s="395">
        <v>313.09921900000001</v>
      </c>
      <c r="D49" s="395">
        <v>4166.0992189999997</v>
      </c>
      <c r="E49" s="396">
        <v>5</v>
      </c>
      <c r="F49" s="372"/>
      <c r="G49" s="372" t="s">
        <v>253</v>
      </c>
      <c r="H49" s="373" t="s">
        <v>254</v>
      </c>
      <c r="I49" s="372" t="s">
        <v>83</v>
      </c>
      <c r="J49" s="372" t="s">
        <v>295</v>
      </c>
      <c r="K49" s="373" t="s">
        <v>256</v>
      </c>
      <c r="L49" s="372" t="s">
        <v>83</v>
      </c>
      <c r="M49" s="374" t="s">
        <v>258</v>
      </c>
      <c r="N49" s="372" t="s">
        <v>83</v>
      </c>
      <c r="O49" s="375" t="s">
        <v>586</v>
      </c>
      <c r="P49" s="375" t="s">
        <v>63</v>
      </c>
      <c r="Q49" s="376" t="s">
        <v>301</v>
      </c>
      <c r="R49" s="375" t="s">
        <v>587</v>
      </c>
      <c r="S49" s="375" t="s">
        <v>250</v>
      </c>
      <c r="T49" s="377" t="s">
        <v>331</v>
      </c>
      <c r="U49" s="375">
        <v>4</v>
      </c>
      <c r="V49" s="369" t="s">
        <v>120</v>
      </c>
      <c r="W49" s="375">
        <v>4</v>
      </c>
      <c r="X49" s="375" t="s">
        <v>137</v>
      </c>
      <c r="Y49" s="354" t="s">
        <v>316</v>
      </c>
      <c r="Z49" s="375" t="s">
        <v>317</v>
      </c>
      <c r="AA49" s="369" t="s">
        <v>120</v>
      </c>
      <c r="AB49" s="369" t="s">
        <v>120</v>
      </c>
      <c r="AC49" s="369" t="s">
        <v>120</v>
      </c>
      <c r="AD49" s="375">
        <v>1</v>
      </c>
      <c r="AE49" s="375" t="s">
        <v>120</v>
      </c>
      <c r="AF49" s="375" t="s">
        <v>120</v>
      </c>
      <c r="AG49" s="375" t="s">
        <v>121</v>
      </c>
      <c r="AH49" s="378" t="s">
        <v>312</v>
      </c>
      <c r="AI49" s="374" t="s">
        <v>83</v>
      </c>
      <c r="AJ49" s="374" t="s">
        <v>286</v>
      </c>
      <c r="AK49" s="374" t="s">
        <v>83</v>
      </c>
      <c r="AL49" s="373" t="s">
        <v>314</v>
      </c>
      <c r="AM49" s="374" t="s">
        <v>288</v>
      </c>
      <c r="AN49" s="372" t="s">
        <v>83</v>
      </c>
      <c r="AO49" s="373" t="s">
        <v>290</v>
      </c>
      <c r="AP49" s="373" t="s">
        <v>83</v>
      </c>
      <c r="AQ49" s="373" t="s">
        <v>315</v>
      </c>
      <c r="AR49" s="373" t="s">
        <v>293</v>
      </c>
      <c r="AS49" s="373" t="s">
        <v>83</v>
      </c>
      <c r="AT49" s="372" t="s">
        <v>91</v>
      </c>
      <c r="AU49" s="379" t="s">
        <v>26</v>
      </c>
      <c r="AV49" s="364" t="str">
        <f t="shared" si="0"/>
        <v>Config - 56, UHF x C Link, UHF LNA-1, UHF DA-5, Ch EPC - M, DP IP port - 4, Ch Card - M2, Router - M, CDU - M, Sy EPC - M, DP OP port - 1, Sy Card - M, UHF x C U/C - 1, UHF x C C SSPA - 1</v>
      </c>
      <c r="AW49" s="71"/>
      <c r="AX49" s="71"/>
      <c r="AY49" s="71"/>
      <c r="AZ49" s="71"/>
      <c r="BA49" s="71"/>
      <c r="BB49" s="71"/>
      <c r="BC49" s="71"/>
      <c r="BD49" s="71"/>
      <c r="BE49" s="71"/>
    </row>
    <row r="50" spans="1:57" s="121" customFormat="1" ht="56.25" x14ac:dyDescent="0.25">
      <c r="A50" s="288">
        <v>196</v>
      </c>
      <c r="B50" s="288">
        <v>54</v>
      </c>
      <c r="C50" s="397">
        <v>313.05859400000003</v>
      </c>
      <c r="D50" s="397">
        <v>4166.0585940000001</v>
      </c>
      <c r="E50" s="398">
        <v>5</v>
      </c>
      <c r="F50" s="288"/>
      <c r="G50" s="288" t="s">
        <v>253</v>
      </c>
      <c r="H50" s="293" t="s">
        <v>254</v>
      </c>
      <c r="I50" s="288" t="s">
        <v>83</v>
      </c>
      <c r="J50" s="288" t="s">
        <v>295</v>
      </c>
      <c r="K50" s="293" t="s">
        <v>256</v>
      </c>
      <c r="L50" s="288" t="s">
        <v>83</v>
      </c>
      <c r="M50" s="288" t="s">
        <v>258</v>
      </c>
      <c r="N50" s="288" t="s">
        <v>83</v>
      </c>
      <c r="O50" s="293" t="s">
        <v>586</v>
      </c>
      <c r="P50" s="293" t="s">
        <v>63</v>
      </c>
      <c r="Q50" s="288" t="s">
        <v>301</v>
      </c>
      <c r="R50" s="293" t="s">
        <v>587</v>
      </c>
      <c r="S50" s="293" t="s">
        <v>63</v>
      </c>
      <c r="T50" s="288" t="s">
        <v>331</v>
      </c>
      <c r="U50" s="293">
        <v>4</v>
      </c>
      <c r="V50" s="288" t="s">
        <v>120</v>
      </c>
      <c r="W50" s="293">
        <v>5</v>
      </c>
      <c r="X50" s="293" t="s">
        <v>114</v>
      </c>
      <c r="Y50" s="279" t="s">
        <v>114</v>
      </c>
      <c r="Z50" s="293" t="s">
        <v>157</v>
      </c>
      <c r="AA50" s="288" t="s">
        <v>120</v>
      </c>
      <c r="AB50" s="288" t="s">
        <v>120</v>
      </c>
      <c r="AC50" s="288" t="s">
        <v>120</v>
      </c>
      <c r="AD50" s="293">
        <v>1</v>
      </c>
      <c r="AE50" s="293" t="s">
        <v>120</v>
      </c>
      <c r="AF50" s="293" t="s">
        <v>120</v>
      </c>
      <c r="AG50" s="293" t="s">
        <v>121</v>
      </c>
      <c r="AH50" s="293" t="s">
        <v>312</v>
      </c>
      <c r="AI50" s="288" t="s">
        <v>83</v>
      </c>
      <c r="AJ50" s="288" t="s">
        <v>286</v>
      </c>
      <c r="AK50" s="288" t="s">
        <v>83</v>
      </c>
      <c r="AL50" s="293" t="s">
        <v>314</v>
      </c>
      <c r="AM50" s="288" t="s">
        <v>288</v>
      </c>
      <c r="AN50" s="288" t="s">
        <v>83</v>
      </c>
      <c r="AO50" s="293" t="s">
        <v>290</v>
      </c>
      <c r="AP50" s="293" t="s">
        <v>83</v>
      </c>
      <c r="AQ50" s="293" t="s">
        <v>315</v>
      </c>
      <c r="AR50" s="293" t="s">
        <v>293</v>
      </c>
      <c r="AS50" s="293" t="s">
        <v>83</v>
      </c>
      <c r="AT50" s="288" t="s">
        <v>91</v>
      </c>
      <c r="AU50" s="399" t="s">
        <v>26</v>
      </c>
      <c r="AV50" s="364" t="str">
        <f t="shared" si="0"/>
        <v>Config - 196, UHF x C Link, UHF LNA-1, UHF DA-5, Ch EPC - M, DP IP port - 5, Ch Card - R1, Router - M, CDU - M, Sy EPC - M, DP OP port - 1, Sy Card - M, UHF x C U/C - 1, UHF x C C SSPA - 1</v>
      </c>
      <c r="AW50" s="120"/>
      <c r="AX50" s="120"/>
      <c r="AY50" s="120"/>
      <c r="AZ50" s="120"/>
      <c r="BA50" s="120"/>
      <c r="BB50" s="120"/>
      <c r="BC50" s="120"/>
      <c r="BD50" s="120"/>
      <c r="BE50" s="120"/>
    </row>
    <row r="51" spans="1:57" s="121" customFormat="1" ht="37.5" x14ac:dyDescent="0.25">
      <c r="A51" s="288">
        <v>197</v>
      </c>
      <c r="B51" s="431">
        <v>300</v>
      </c>
      <c r="C51" s="397">
        <v>317.5</v>
      </c>
      <c r="D51" s="397">
        <f>C51+3873</f>
        <v>4190.5</v>
      </c>
      <c r="E51" s="398">
        <v>5</v>
      </c>
      <c r="F51" s="288"/>
      <c r="G51" s="288" t="s">
        <v>253</v>
      </c>
      <c r="H51" s="293" t="s">
        <v>254</v>
      </c>
      <c r="I51" s="288" t="s">
        <v>83</v>
      </c>
      <c r="J51" s="288" t="s">
        <v>295</v>
      </c>
      <c r="K51" s="293" t="s">
        <v>256</v>
      </c>
      <c r="L51" s="288" t="s">
        <v>83</v>
      </c>
      <c r="M51" s="288" t="s">
        <v>258</v>
      </c>
      <c r="N51" s="288" t="s">
        <v>83</v>
      </c>
      <c r="O51" s="293" t="s">
        <v>306</v>
      </c>
      <c r="P51" s="293" t="s">
        <v>251</v>
      </c>
      <c r="Q51" s="355" t="s">
        <v>300</v>
      </c>
      <c r="R51" s="293" t="s">
        <v>310</v>
      </c>
      <c r="S51" s="293" t="s">
        <v>251</v>
      </c>
      <c r="T51" s="288" t="s">
        <v>331</v>
      </c>
      <c r="U51" s="293">
        <v>5</v>
      </c>
      <c r="V51" s="288" t="s">
        <v>120</v>
      </c>
      <c r="W51" s="293">
        <v>6</v>
      </c>
      <c r="X51" s="293" t="s">
        <v>114</v>
      </c>
      <c r="Y51" s="279" t="s">
        <v>114</v>
      </c>
      <c r="Z51" s="293" t="s">
        <v>157</v>
      </c>
      <c r="AA51" s="288" t="s">
        <v>120</v>
      </c>
      <c r="AB51" s="288" t="s">
        <v>120</v>
      </c>
      <c r="AC51" s="288" t="s">
        <v>120</v>
      </c>
      <c r="AD51" s="293">
        <v>1</v>
      </c>
      <c r="AE51" s="293" t="s">
        <v>120</v>
      </c>
      <c r="AF51" s="293" t="s">
        <v>120</v>
      </c>
      <c r="AG51" s="293" t="s">
        <v>121</v>
      </c>
      <c r="AH51" s="293" t="s">
        <v>312</v>
      </c>
      <c r="AI51" s="288" t="s">
        <v>83</v>
      </c>
      <c r="AJ51" s="288" t="s">
        <v>286</v>
      </c>
      <c r="AK51" s="288" t="s">
        <v>83</v>
      </c>
      <c r="AL51" s="293" t="s">
        <v>314</v>
      </c>
      <c r="AM51" s="288" t="s">
        <v>288</v>
      </c>
      <c r="AN51" s="288" t="s">
        <v>83</v>
      </c>
      <c r="AO51" s="293" t="s">
        <v>290</v>
      </c>
      <c r="AP51" s="293" t="s">
        <v>83</v>
      </c>
      <c r="AQ51" s="293" t="s">
        <v>315</v>
      </c>
      <c r="AR51" s="293" t="s">
        <v>293</v>
      </c>
      <c r="AS51" s="293" t="s">
        <v>83</v>
      </c>
      <c r="AT51" s="288" t="s">
        <v>91</v>
      </c>
      <c r="AU51" s="399" t="s">
        <v>26</v>
      </c>
      <c r="AV51" s="364" t="str">
        <f t="shared" si="0"/>
        <v>Config - 197, UHF x C Link, UHF LNA-1, UHF DA-6, Ch EPC - M, DP IP port - 6, Ch Card - R1, Router - M, CDU - M, Sy EPC - M, DP OP port - 1, Sy Card - M, UHF x C U/C - 1, UHF x C C SSPA - 1</v>
      </c>
      <c r="AW51" s="120"/>
      <c r="AX51" s="120"/>
      <c r="AY51" s="120"/>
      <c r="AZ51" s="120"/>
      <c r="BA51" s="120"/>
      <c r="BB51" s="120"/>
      <c r="BC51" s="120"/>
      <c r="BD51" s="120"/>
      <c r="BE51" s="120"/>
    </row>
    <row r="52" spans="1:57" s="165" customFormat="1" ht="37.5" x14ac:dyDescent="0.25">
      <c r="A52" s="310">
        <v>198</v>
      </c>
      <c r="B52" s="310">
        <v>15</v>
      </c>
      <c r="C52" s="400">
        <v>296.83984400000003</v>
      </c>
      <c r="D52" s="400">
        <v>4169.8398440000001</v>
      </c>
      <c r="E52" s="401">
        <v>25</v>
      </c>
      <c r="F52" s="310"/>
      <c r="G52" s="310" t="s">
        <v>253</v>
      </c>
      <c r="H52" s="314" t="s">
        <v>254</v>
      </c>
      <c r="I52" s="310" t="s">
        <v>83</v>
      </c>
      <c r="J52" s="310" t="s">
        <v>295</v>
      </c>
      <c r="K52" s="314" t="s">
        <v>256</v>
      </c>
      <c r="L52" s="310" t="s">
        <v>83</v>
      </c>
      <c r="M52" s="310" t="s">
        <v>258</v>
      </c>
      <c r="N52" s="310" t="s">
        <v>83</v>
      </c>
      <c r="O52" s="314" t="s">
        <v>610</v>
      </c>
      <c r="P52" s="314" t="s">
        <v>251</v>
      </c>
      <c r="Q52" s="310" t="s">
        <v>297</v>
      </c>
      <c r="R52" s="314" t="s">
        <v>609</v>
      </c>
      <c r="S52" s="314" t="s">
        <v>232</v>
      </c>
      <c r="T52" s="310" t="s">
        <v>331</v>
      </c>
      <c r="U52" s="314">
        <v>1</v>
      </c>
      <c r="V52" s="310" t="s">
        <v>120</v>
      </c>
      <c r="W52" s="314">
        <v>3</v>
      </c>
      <c r="X52" s="314" t="s">
        <v>137</v>
      </c>
      <c r="Y52" s="314" t="s">
        <v>580</v>
      </c>
      <c r="Z52" s="314" t="s">
        <v>230</v>
      </c>
      <c r="AA52" s="310" t="s">
        <v>120</v>
      </c>
      <c r="AB52" s="310" t="s">
        <v>120</v>
      </c>
      <c r="AC52" s="310" t="s">
        <v>120</v>
      </c>
      <c r="AD52" s="314">
        <v>1</v>
      </c>
      <c r="AE52" s="314" t="s">
        <v>120</v>
      </c>
      <c r="AF52" s="314" t="s">
        <v>120</v>
      </c>
      <c r="AG52" s="314" t="s">
        <v>121</v>
      </c>
      <c r="AH52" s="314" t="s">
        <v>312</v>
      </c>
      <c r="AI52" s="310" t="s">
        <v>83</v>
      </c>
      <c r="AJ52" s="310" t="s">
        <v>286</v>
      </c>
      <c r="AK52" s="310" t="s">
        <v>83</v>
      </c>
      <c r="AL52" s="314" t="s">
        <v>314</v>
      </c>
      <c r="AM52" s="310" t="s">
        <v>288</v>
      </c>
      <c r="AN52" s="310" t="s">
        <v>83</v>
      </c>
      <c r="AO52" s="314" t="s">
        <v>290</v>
      </c>
      <c r="AP52" s="314" t="s">
        <v>83</v>
      </c>
      <c r="AQ52" s="314" t="s">
        <v>315</v>
      </c>
      <c r="AR52" s="314" t="s">
        <v>293</v>
      </c>
      <c r="AS52" s="314" t="s">
        <v>83</v>
      </c>
      <c r="AT52" s="310" t="s">
        <v>91</v>
      </c>
      <c r="AU52" s="402" t="s">
        <v>26</v>
      </c>
      <c r="AV52" s="364" t="str">
        <f t="shared" si="0"/>
        <v>Config - 198, UHF x C Link, UHF LNA-1, UHF DA-2, Ch EPC - M, DP IP port - 3, Ch Card - M2, Router - M, CDU - M, Sy EPC - M, DP OP port - 1, Sy Card - M, UHF x C U/C - 1, UHF x C C SSPA - 1</v>
      </c>
      <c r="AW52" s="133"/>
      <c r="AX52" s="133"/>
      <c r="AY52" s="133"/>
      <c r="AZ52" s="133"/>
      <c r="BA52" s="133"/>
      <c r="BB52" s="133"/>
      <c r="BC52" s="133"/>
      <c r="BD52" s="133"/>
      <c r="BE52" s="133"/>
    </row>
    <row r="53" spans="1:57" s="281" customFormat="1" ht="37.5" x14ac:dyDescent="0.25">
      <c r="A53" s="403">
        <v>199</v>
      </c>
      <c r="B53" s="403">
        <v>48</v>
      </c>
      <c r="C53" s="404">
        <v>298.91171900000001</v>
      </c>
      <c r="D53" s="404">
        <v>4171.9117189999997</v>
      </c>
      <c r="E53" s="405">
        <v>5</v>
      </c>
      <c r="F53" s="403"/>
      <c r="G53" s="403" t="s">
        <v>253</v>
      </c>
      <c r="H53" s="406" t="s">
        <v>254</v>
      </c>
      <c r="I53" s="403" t="s">
        <v>83</v>
      </c>
      <c r="J53" s="403" t="s">
        <v>295</v>
      </c>
      <c r="K53" s="406" t="s">
        <v>256</v>
      </c>
      <c r="L53" s="403" t="s">
        <v>83</v>
      </c>
      <c r="M53" s="403" t="s">
        <v>258</v>
      </c>
      <c r="N53" s="403" t="s">
        <v>83</v>
      </c>
      <c r="O53" s="406" t="s">
        <v>302</v>
      </c>
      <c r="P53" s="406" t="s">
        <v>228</v>
      </c>
      <c r="Q53" s="403" t="s">
        <v>296</v>
      </c>
      <c r="R53" s="406" t="s">
        <v>593</v>
      </c>
      <c r="S53" s="406" t="s">
        <v>251</v>
      </c>
      <c r="T53" s="403" t="s">
        <v>331</v>
      </c>
      <c r="U53" s="406">
        <v>4</v>
      </c>
      <c r="V53" s="403" t="s">
        <v>120</v>
      </c>
      <c r="W53" s="406">
        <v>1</v>
      </c>
      <c r="X53" s="406" t="s">
        <v>209</v>
      </c>
      <c r="Y53" s="282" t="s">
        <v>323</v>
      </c>
      <c r="Z53" s="282" t="s">
        <v>324</v>
      </c>
      <c r="AA53" s="403" t="s">
        <v>120</v>
      </c>
      <c r="AB53" s="403" t="s">
        <v>120</v>
      </c>
      <c r="AC53" s="403" t="s">
        <v>120</v>
      </c>
      <c r="AD53" s="406">
        <v>1</v>
      </c>
      <c r="AE53" s="406" t="s">
        <v>120</v>
      </c>
      <c r="AF53" s="406" t="s">
        <v>120</v>
      </c>
      <c r="AG53" s="406" t="s">
        <v>121</v>
      </c>
      <c r="AH53" s="406" t="s">
        <v>312</v>
      </c>
      <c r="AI53" s="403" t="s">
        <v>83</v>
      </c>
      <c r="AJ53" s="403" t="s">
        <v>286</v>
      </c>
      <c r="AK53" s="403" t="s">
        <v>83</v>
      </c>
      <c r="AL53" s="406" t="s">
        <v>314</v>
      </c>
      <c r="AM53" s="403" t="s">
        <v>288</v>
      </c>
      <c r="AN53" s="403" t="s">
        <v>83</v>
      </c>
      <c r="AO53" s="406" t="s">
        <v>290</v>
      </c>
      <c r="AP53" s="406" t="s">
        <v>83</v>
      </c>
      <c r="AQ53" s="406" t="s">
        <v>315</v>
      </c>
      <c r="AR53" s="406" t="s">
        <v>293</v>
      </c>
      <c r="AS53" s="406" t="s">
        <v>83</v>
      </c>
      <c r="AT53" s="403" t="s">
        <v>91</v>
      </c>
      <c r="AU53" s="407" t="s">
        <v>26</v>
      </c>
      <c r="AV53" s="364" t="str">
        <f t="shared" si="0"/>
        <v>Config - 199, UHF x C Link, UHF LNA-1, UHF DA-1, Ch EPC - M, DP IP port - 1, Ch Card - M1, Router - M, CDU - M, Sy EPC - M, DP OP port - 1, Sy Card - M, UHF x C U/C - 1, UHF x C C SSPA - 1</v>
      </c>
      <c r="AW53" s="280"/>
      <c r="AX53" s="280"/>
      <c r="AY53" s="280"/>
      <c r="AZ53" s="280"/>
      <c r="BA53" s="280"/>
      <c r="BB53" s="280"/>
      <c r="BC53" s="280"/>
      <c r="BD53" s="280"/>
      <c r="BE53" s="280"/>
    </row>
    <row r="54" spans="1:57" s="281" customFormat="1" ht="37.5" x14ac:dyDescent="0.25">
      <c r="A54" s="403">
        <v>200</v>
      </c>
      <c r="B54" s="403">
        <v>51</v>
      </c>
      <c r="C54" s="404">
        <v>303.74921899999998</v>
      </c>
      <c r="D54" s="404">
        <v>4176.7492190000003</v>
      </c>
      <c r="E54" s="405">
        <v>25</v>
      </c>
      <c r="F54" s="403"/>
      <c r="G54" s="403" t="s">
        <v>253</v>
      </c>
      <c r="H54" s="406" t="s">
        <v>254</v>
      </c>
      <c r="I54" s="403" t="s">
        <v>83</v>
      </c>
      <c r="J54" s="403" t="s">
        <v>295</v>
      </c>
      <c r="K54" s="406" t="s">
        <v>256</v>
      </c>
      <c r="L54" s="403" t="s">
        <v>83</v>
      </c>
      <c r="M54" s="403" t="s">
        <v>258</v>
      </c>
      <c r="N54" s="403" t="s">
        <v>83</v>
      </c>
      <c r="O54" s="406" t="s">
        <v>588</v>
      </c>
      <c r="P54" s="406" t="s">
        <v>228</v>
      </c>
      <c r="Q54" s="403" t="s">
        <v>297</v>
      </c>
      <c r="R54" s="406" t="s">
        <v>592</v>
      </c>
      <c r="S54" s="406" t="s">
        <v>251</v>
      </c>
      <c r="T54" s="403" t="s">
        <v>331</v>
      </c>
      <c r="U54" s="406">
        <v>4</v>
      </c>
      <c r="V54" s="403" t="s">
        <v>120</v>
      </c>
      <c r="W54" s="406">
        <v>2</v>
      </c>
      <c r="X54" s="406" t="s">
        <v>209</v>
      </c>
      <c r="Y54" s="282" t="s">
        <v>323</v>
      </c>
      <c r="Z54" s="282" t="s">
        <v>324</v>
      </c>
      <c r="AA54" s="403" t="s">
        <v>120</v>
      </c>
      <c r="AB54" s="403" t="s">
        <v>120</v>
      </c>
      <c r="AC54" s="403" t="s">
        <v>120</v>
      </c>
      <c r="AD54" s="406">
        <v>1</v>
      </c>
      <c r="AE54" s="406" t="s">
        <v>120</v>
      </c>
      <c r="AF54" s="406" t="s">
        <v>120</v>
      </c>
      <c r="AG54" s="406" t="s">
        <v>121</v>
      </c>
      <c r="AH54" s="406" t="s">
        <v>312</v>
      </c>
      <c r="AI54" s="403" t="s">
        <v>83</v>
      </c>
      <c r="AJ54" s="403" t="s">
        <v>286</v>
      </c>
      <c r="AK54" s="403" t="s">
        <v>83</v>
      </c>
      <c r="AL54" s="406" t="s">
        <v>314</v>
      </c>
      <c r="AM54" s="403" t="s">
        <v>288</v>
      </c>
      <c r="AN54" s="403" t="s">
        <v>83</v>
      </c>
      <c r="AO54" s="406" t="s">
        <v>290</v>
      </c>
      <c r="AP54" s="406" t="s">
        <v>83</v>
      </c>
      <c r="AQ54" s="406" t="s">
        <v>315</v>
      </c>
      <c r="AR54" s="406" t="s">
        <v>293</v>
      </c>
      <c r="AS54" s="406" t="s">
        <v>83</v>
      </c>
      <c r="AT54" s="403" t="s">
        <v>91</v>
      </c>
      <c r="AU54" s="407" t="s">
        <v>26</v>
      </c>
      <c r="AV54" s="364" t="str">
        <f t="shared" si="0"/>
        <v>Config - 200, UHF x C Link, UHF LNA-1, UHF DA-2, Ch EPC - M, DP IP port - 2, Ch Card - M1, Router - M, CDU - M, Sy EPC - M, DP OP port - 1, Sy Card - M, UHF x C U/C - 1, UHF x C C SSPA - 1</v>
      </c>
      <c r="AW54" s="280"/>
      <c r="AX54" s="280"/>
      <c r="AY54" s="280"/>
      <c r="AZ54" s="280"/>
      <c r="BA54" s="280"/>
      <c r="BB54" s="280"/>
      <c r="BC54" s="280"/>
      <c r="BD54" s="280"/>
      <c r="BE54" s="280"/>
    </row>
    <row r="55" spans="1:57" s="281" customFormat="1" ht="37.5" x14ac:dyDescent="0.25">
      <c r="A55" s="287">
        <v>201</v>
      </c>
      <c r="B55" s="403">
        <v>54</v>
      </c>
      <c r="C55" s="404">
        <v>313.05859400000003</v>
      </c>
      <c r="D55" s="404">
        <v>4166.0585940000001</v>
      </c>
      <c r="E55" s="405">
        <v>5</v>
      </c>
      <c r="F55" s="403"/>
      <c r="G55" s="403" t="s">
        <v>253</v>
      </c>
      <c r="H55" s="406" t="s">
        <v>254</v>
      </c>
      <c r="I55" s="403" t="s">
        <v>83</v>
      </c>
      <c r="J55" s="403" t="s">
        <v>295</v>
      </c>
      <c r="K55" s="406" t="s">
        <v>256</v>
      </c>
      <c r="L55" s="403" t="s">
        <v>83</v>
      </c>
      <c r="M55" s="403" t="s">
        <v>258</v>
      </c>
      <c r="N55" s="403" t="s">
        <v>83</v>
      </c>
      <c r="O55" s="406" t="s">
        <v>306</v>
      </c>
      <c r="P55" s="406" t="s">
        <v>232</v>
      </c>
      <c r="Q55" s="403" t="s">
        <v>300</v>
      </c>
      <c r="R55" s="406" t="s">
        <v>310</v>
      </c>
      <c r="S55" s="406" t="s">
        <v>228</v>
      </c>
      <c r="T55" s="403" t="s">
        <v>331</v>
      </c>
      <c r="U55" s="406">
        <v>4</v>
      </c>
      <c r="V55" s="403" t="s">
        <v>120</v>
      </c>
      <c r="W55" s="406">
        <v>5</v>
      </c>
      <c r="X55" s="406" t="s">
        <v>114</v>
      </c>
      <c r="Y55" s="282" t="s">
        <v>323</v>
      </c>
      <c r="Z55" s="282" t="s">
        <v>324</v>
      </c>
      <c r="AA55" s="403" t="s">
        <v>120</v>
      </c>
      <c r="AB55" s="403" t="s">
        <v>120</v>
      </c>
      <c r="AC55" s="403" t="s">
        <v>120</v>
      </c>
      <c r="AD55" s="406">
        <v>1</v>
      </c>
      <c r="AE55" s="406" t="s">
        <v>120</v>
      </c>
      <c r="AF55" s="406" t="s">
        <v>120</v>
      </c>
      <c r="AG55" s="406" t="s">
        <v>121</v>
      </c>
      <c r="AH55" s="406" t="s">
        <v>312</v>
      </c>
      <c r="AI55" s="403" t="s">
        <v>83</v>
      </c>
      <c r="AJ55" s="403" t="s">
        <v>286</v>
      </c>
      <c r="AK55" s="403" t="s">
        <v>83</v>
      </c>
      <c r="AL55" s="406" t="s">
        <v>314</v>
      </c>
      <c r="AM55" s="403" t="s">
        <v>288</v>
      </c>
      <c r="AN55" s="403" t="s">
        <v>83</v>
      </c>
      <c r="AO55" s="406" t="s">
        <v>290</v>
      </c>
      <c r="AP55" s="406" t="s">
        <v>83</v>
      </c>
      <c r="AQ55" s="406" t="s">
        <v>315</v>
      </c>
      <c r="AR55" s="406" t="s">
        <v>293</v>
      </c>
      <c r="AS55" s="406" t="s">
        <v>83</v>
      </c>
      <c r="AT55" s="403" t="s">
        <v>91</v>
      </c>
      <c r="AU55" s="407" t="s">
        <v>26</v>
      </c>
      <c r="AV55" s="364" t="str">
        <f t="shared" si="0"/>
        <v>Config - 201, UHF x C Link, UHF LNA-1, UHF DA-6, Ch EPC - M, DP IP port - 5, Ch Card - R1, Router - M, CDU - M, Sy EPC - M, DP OP port - 1, Sy Card - M, UHF x C U/C - 1, UHF x C C SSPA - 1</v>
      </c>
      <c r="AW55" s="280"/>
      <c r="AX55" s="280"/>
      <c r="AY55" s="280"/>
      <c r="AZ55" s="280"/>
      <c r="BA55" s="280"/>
      <c r="BB55" s="280"/>
      <c r="BC55" s="280"/>
      <c r="BD55" s="280"/>
      <c r="BE55" s="280"/>
    </row>
    <row r="56" spans="1:57" s="281" customFormat="1" ht="37.5" x14ac:dyDescent="0.25">
      <c r="A56" s="403">
        <v>202</v>
      </c>
      <c r="B56" s="408">
        <v>300</v>
      </c>
      <c r="C56" s="404">
        <v>317.5</v>
      </c>
      <c r="D56" s="404">
        <f>C56+3853</f>
        <v>4170.5</v>
      </c>
      <c r="E56" s="405">
        <v>5</v>
      </c>
      <c r="F56" s="403"/>
      <c r="G56" s="403" t="s">
        <v>253</v>
      </c>
      <c r="H56" s="406" t="s">
        <v>254</v>
      </c>
      <c r="I56" s="403" t="s">
        <v>83</v>
      </c>
      <c r="J56" s="403" t="s">
        <v>295</v>
      </c>
      <c r="K56" s="406" t="s">
        <v>256</v>
      </c>
      <c r="L56" s="403" t="s">
        <v>83</v>
      </c>
      <c r="M56" s="403" t="s">
        <v>258</v>
      </c>
      <c r="N56" s="403" t="s">
        <v>83</v>
      </c>
      <c r="O56" s="406" t="s">
        <v>306</v>
      </c>
      <c r="P56" s="406" t="s">
        <v>232</v>
      </c>
      <c r="Q56" s="403" t="s">
        <v>594</v>
      </c>
      <c r="R56" s="406" t="s">
        <v>595</v>
      </c>
      <c r="S56" s="406" t="s">
        <v>228</v>
      </c>
      <c r="T56" s="403" t="s">
        <v>331</v>
      </c>
      <c r="U56" s="406">
        <v>5</v>
      </c>
      <c r="V56" s="403" t="s">
        <v>120</v>
      </c>
      <c r="W56" s="406">
        <v>6</v>
      </c>
      <c r="X56" s="406" t="s">
        <v>114</v>
      </c>
      <c r="Y56" s="282" t="s">
        <v>323</v>
      </c>
      <c r="Z56" s="282" t="s">
        <v>324</v>
      </c>
      <c r="AA56" s="403" t="s">
        <v>120</v>
      </c>
      <c r="AB56" s="403" t="s">
        <v>120</v>
      </c>
      <c r="AC56" s="403" t="s">
        <v>120</v>
      </c>
      <c r="AD56" s="406">
        <v>1</v>
      </c>
      <c r="AE56" s="406" t="s">
        <v>120</v>
      </c>
      <c r="AF56" s="406" t="s">
        <v>120</v>
      </c>
      <c r="AG56" s="406" t="s">
        <v>121</v>
      </c>
      <c r="AH56" s="406" t="s">
        <v>312</v>
      </c>
      <c r="AI56" s="403" t="s">
        <v>83</v>
      </c>
      <c r="AJ56" s="403" t="s">
        <v>286</v>
      </c>
      <c r="AK56" s="403" t="s">
        <v>83</v>
      </c>
      <c r="AL56" s="406" t="s">
        <v>314</v>
      </c>
      <c r="AM56" s="403" t="s">
        <v>288</v>
      </c>
      <c r="AN56" s="403" t="s">
        <v>83</v>
      </c>
      <c r="AO56" s="406" t="s">
        <v>290</v>
      </c>
      <c r="AP56" s="406" t="s">
        <v>83</v>
      </c>
      <c r="AQ56" s="406" t="s">
        <v>315</v>
      </c>
      <c r="AR56" s="406" t="s">
        <v>293</v>
      </c>
      <c r="AS56" s="406" t="s">
        <v>83</v>
      </c>
      <c r="AT56" s="403" t="s">
        <v>91</v>
      </c>
      <c r="AU56" s="407" t="s">
        <v>26</v>
      </c>
      <c r="AV56" s="364" t="str">
        <f t="shared" si="0"/>
        <v>Config - 202, UHF x C Link, UHF LNA-1, UHF DA-R2, Ch EPC - M, DP IP port - 6, Ch Card - R1, Router - M, CDU - M, Sy EPC - M, DP OP port - 1, Sy Card - M, UHF x C U/C - 1, UHF x C C SSPA - 1</v>
      </c>
      <c r="AW56" s="280"/>
      <c r="AX56" s="280"/>
      <c r="AY56" s="280"/>
      <c r="AZ56" s="280"/>
      <c r="BA56" s="280"/>
      <c r="BB56" s="280"/>
      <c r="BC56" s="280"/>
      <c r="BD56" s="280"/>
      <c r="BE56" s="280"/>
    </row>
    <row r="57" spans="1:57" s="124" customFormat="1" ht="37.5" x14ac:dyDescent="0.25">
      <c r="A57" s="290">
        <v>203</v>
      </c>
      <c r="B57" s="290">
        <v>12</v>
      </c>
      <c r="C57" s="409">
        <v>292.00234399999999</v>
      </c>
      <c r="D57" s="409">
        <v>4165.0023440000004</v>
      </c>
      <c r="E57" s="410">
        <v>5</v>
      </c>
      <c r="F57" s="290"/>
      <c r="G57" s="290" t="s">
        <v>253</v>
      </c>
      <c r="H57" s="298" t="s">
        <v>254</v>
      </c>
      <c r="I57" s="290" t="s">
        <v>83</v>
      </c>
      <c r="J57" s="290" t="s">
        <v>295</v>
      </c>
      <c r="K57" s="298" t="s">
        <v>256</v>
      </c>
      <c r="L57" s="290" t="s">
        <v>83</v>
      </c>
      <c r="M57" s="290" t="s">
        <v>258</v>
      </c>
      <c r="N57" s="290" t="s">
        <v>83</v>
      </c>
      <c r="O57" s="298" t="s">
        <v>302</v>
      </c>
      <c r="P57" s="298" t="s">
        <v>232</v>
      </c>
      <c r="Q57" s="290" t="s">
        <v>297</v>
      </c>
      <c r="R57" s="298" t="s">
        <v>593</v>
      </c>
      <c r="S57" s="298" t="s">
        <v>228</v>
      </c>
      <c r="T57" s="290" t="s">
        <v>608</v>
      </c>
      <c r="U57" s="298">
        <v>1</v>
      </c>
      <c r="V57" s="290" t="s">
        <v>120</v>
      </c>
      <c r="W57" s="298">
        <v>1</v>
      </c>
      <c r="X57" s="298" t="s">
        <v>209</v>
      </c>
      <c r="Y57" s="298" t="s">
        <v>316</v>
      </c>
      <c r="Z57" s="298" t="s">
        <v>317</v>
      </c>
      <c r="AA57" s="290" t="s">
        <v>120</v>
      </c>
      <c r="AB57" s="290" t="s">
        <v>120</v>
      </c>
      <c r="AC57" s="290" t="s">
        <v>120</v>
      </c>
      <c r="AD57" s="298">
        <v>1</v>
      </c>
      <c r="AE57" s="298" t="s">
        <v>120</v>
      </c>
      <c r="AF57" s="298" t="s">
        <v>120</v>
      </c>
      <c r="AG57" s="298" t="s">
        <v>121</v>
      </c>
      <c r="AH57" s="298" t="s">
        <v>312</v>
      </c>
      <c r="AI57" s="290" t="s">
        <v>83</v>
      </c>
      <c r="AJ57" s="290" t="s">
        <v>286</v>
      </c>
      <c r="AK57" s="290" t="s">
        <v>83</v>
      </c>
      <c r="AL57" s="298" t="s">
        <v>314</v>
      </c>
      <c r="AM57" s="290" t="s">
        <v>288</v>
      </c>
      <c r="AN57" s="290" t="s">
        <v>83</v>
      </c>
      <c r="AO57" s="298" t="s">
        <v>290</v>
      </c>
      <c r="AP57" s="298" t="s">
        <v>83</v>
      </c>
      <c r="AQ57" s="298" t="s">
        <v>315</v>
      </c>
      <c r="AR57" s="298" t="s">
        <v>293</v>
      </c>
      <c r="AS57" s="298" t="s">
        <v>83</v>
      </c>
      <c r="AT57" s="290" t="s">
        <v>91</v>
      </c>
      <c r="AU57" s="411" t="s">
        <v>26</v>
      </c>
      <c r="AV57" s="364" t="str">
        <f t="shared" si="0"/>
        <v>Config - 203, UHF x C Link, UHF LNA-1, UHF DA-2, Ch EPC - M, DP IP port - 1, Ch Card - M1, Router - M, CDU - M, Sy EPC - M, DP OP port - 1, Sy Card - M, UHF x C U/C - 1, UHF x C C SSPA - 1</v>
      </c>
      <c r="AW57" s="123"/>
      <c r="AX57" s="123"/>
      <c r="AY57" s="123"/>
      <c r="AZ57" s="123"/>
      <c r="BA57" s="123"/>
      <c r="BB57" s="123"/>
      <c r="BC57" s="123"/>
      <c r="BD57" s="123"/>
      <c r="BE57" s="123"/>
    </row>
    <row r="58" spans="1:57" s="124" customFormat="1" ht="37.5" x14ac:dyDescent="0.25">
      <c r="A58" s="290">
        <v>204</v>
      </c>
      <c r="B58" s="290">
        <v>15</v>
      </c>
      <c r="C58" s="409">
        <v>296.83984400000003</v>
      </c>
      <c r="D58" s="409">
        <v>4169.8398440000001</v>
      </c>
      <c r="E58" s="410">
        <v>25</v>
      </c>
      <c r="F58" s="290"/>
      <c r="G58" s="290" t="s">
        <v>253</v>
      </c>
      <c r="H58" s="298" t="s">
        <v>254</v>
      </c>
      <c r="I58" s="290" t="s">
        <v>83</v>
      </c>
      <c r="J58" s="290" t="s">
        <v>295</v>
      </c>
      <c r="K58" s="298" t="s">
        <v>256</v>
      </c>
      <c r="L58" s="290" t="s">
        <v>83</v>
      </c>
      <c r="M58" s="290" t="s">
        <v>258</v>
      </c>
      <c r="N58" s="290" t="s">
        <v>83</v>
      </c>
      <c r="O58" s="298" t="s">
        <v>588</v>
      </c>
      <c r="P58" s="298" t="s">
        <v>232</v>
      </c>
      <c r="Q58" s="290" t="s">
        <v>298</v>
      </c>
      <c r="R58" s="298" t="s">
        <v>592</v>
      </c>
      <c r="S58" s="298" t="s">
        <v>228</v>
      </c>
      <c r="T58" s="290" t="s">
        <v>608</v>
      </c>
      <c r="U58" s="298">
        <v>1</v>
      </c>
      <c r="V58" s="290" t="s">
        <v>120</v>
      </c>
      <c r="W58" s="298">
        <v>2</v>
      </c>
      <c r="X58" s="298" t="s">
        <v>209</v>
      </c>
      <c r="Y58" s="298" t="s">
        <v>316</v>
      </c>
      <c r="Z58" s="298" t="s">
        <v>317</v>
      </c>
      <c r="AA58" s="290" t="s">
        <v>120</v>
      </c>
      <c r="AB58" s="290" t="s">
        <v>120</v>
      </c>
      <c r="AC58" s="290" t="s">
        <v>120</v>
      </c>
      <c r="AD58" s="298">
        <v>1</v>
      </c>
      <c r="AE58" s="298" t="s">
        <v>120</v>
      </c>
      <c r="AF58" s="298" t="s">
        <v>120</v>
      </c>
      <c r="AG58" s="298" t="s">
        <v>121</v>
      </c>
      <c r="AH58" s="298" t="s">
        <v>312</v>
      </c>
      <c r="AI58" s="290" t="s">
        <v>83</v>
      </c>
      <c r="AJ58" s="290" t="s">
        <v>286</v>
      </c>
      <c r="AK58" s="290" t="s">
        <v>83</v>
      </c>
      <c r="AL58" s="298" t="s">
        <v>314</v>
      </c>
      <c r="AM58" s="290" t="s">
        <v>288</v>
      </c>
      <c r="AN58" s="290" t="s">
        <v>83</v>
      </c>
      <c r="AO58" s="298" t="s">
        <v>290</v>
      </c>
      <c r="AP58" s="298" t="s">
        <v>83</v>
      </c>
      <c r="AQ58" s="298" t="s">
        <v>315</v>
      </c>
      <c r="AR58" s="298" t="s">
        <v>293</v>
      </c>
      <c r="AS58" s="298" t="s">
        <v>83</v>
      </c>
      <c r="AT58" s="290" t="s">
        <v>91</v>
      </c>
      <c r="AU58" s="411" t="s">
        <v>26</v>
      </c>
      <c r="AV58" s="364" t="str">
        <f t="shared" si="0"/>
        <v>Config - 204, UHF x C Link, UHF LNA-1, UHF DA-3, Ch EPC - M, DP IP port - 2, Ch Card - M1, Router - M, CDU - M, Sy EPC - M, DP OP port - 1, Sy Card - M, UHF x C U/C - 1, UHF x C C SSPA - 1</v>
      </c>
      <c r="AW58" s="123"/>
      <c r="AX58" s="123"/>
      <c r="AY58" s="123"/>
      <c r="AZ58" s="123"/>
      <c r="BA58" s="123"/>
      <c r="BB58" s="123"/>
      <c r="BC58" s="123"/>
      <c r="BD58" s="123"/>
      <c r="BE58" s="123"/>
    </row>
    <row r="59" spans="1:57" s="124" customFormat="1" ht="37.5" x14ac:dyDescent="0.25">
      <c r="A59" s="290">
        <v>205</v>
      </c>
      <c r="B59" s="290">
        <v>18</v>
      </c>
      <c r="C59" s="409">
        <v>306.13906200000002</v>
      </c>
      <c r="D59" s="409">
        <v>4179.1390629999996</v>
      </c>
      <c r="E59" s="410">
        <v>5</v>
      </c>
      <c r="F59" s="290"/>
      <c r="G59" s="290" t="s">
        <v>253</v>
      </c>
      <c r="H59" s="298" t="s">
        <v>254</v>
      </c>
      <c r="I59" s="290" t="s">
        <v>83</v>
      </c>
      <c r="J59" s="290" t="s">
        <v>295</v>
      </c>
      <c r="K59" s="298" t="s">
        <v>256</v>
      </c>
      <c r="L59" s="290" t="s">
        <v>83</v>
      </c>
      <c r="M59" s="290" t="s">
        <v>258</v>
      </c>
      <c r="N59" s="290" t="s">
        <v>83</v>
      </c>
      <c r="O59" s="298" t="s">
        <v>596</v>
      </c>
      <c r="P59" s="298" t="s">
        <v>232</v>
      </c>
      <c r="Q59" s="290" t="s">
        <v>301</v>
      </c>
      <c r="R59" s="298" t="s">
        <v>597</v>
      </c>
      <c r="S59" s="298" t="s">
        <v>228</v>
      </c>
      <c r="T59" s="290" t="s">
        <v>608</v>
      </c>
      <c r="U59" s="298">
        <v>1</v>
      </c>
      <c r="V59" s="290" t="s">
        <v>120</v>
      </c>
      <c r="W59" s="298">
        <v>4</v>
      </c>
      <c r="X59" s="298" t="s">
        <v>137</v>
      </c>
      <c r="Y59" s="298" t="s">
        <v>316</v>
      </c>
      <c r="Z59" s="298" t="s">
        <v>317</v>
      </c>
      <c r="AA59" s="290" t="s">
        <v>120</v>
      </c>
      <c r="AB59" s="290" t="s">
        <v>120</v>
      </c>
      <c r="AC59" s="290" t="s">
        <v>120</v>
      </c>
      <c r="AD59" s="298">
        <v>1</v>
      </c>
      <c r="AE59" s="298" t="s">
        <v>120</v>
      </c>
      <c r="AF59" s="298" t="s">
        <v>120</v>
      </c>
      <c r="AG59" s="298" t="s">
        <v>121</v>
      </c>
      <c r="AH59" s="298" t="s">
        <v>312</v>
      </c>
      <c r="AI59" s="290" t="s">
        <v>83</v>
      </c>
      <c r="AJ59" s="290" t="s">
        <v>286</v>
      </c>
      <c r="AK59" s="290" t="s">
        <v>83</v>
      </c>
      <c r="AL59" s="298" t="s">
        <v>314</v>
      </c>
      <c r="AM59" s="290" t="s">
        <v>288</v>
      </c>
      <c r="AN59" s="290" t="s">
        <v>83</v>
      </c>
      <c r="AO59" s="298" t="s">
        <v>290</v>
      </c>
      <c r="AP59" s="298" t="s">
        <v>83</v>
      </c>
      <c r="AQ59" s="298" t="s">
        <v>315</v>
      </c>
      <c r="AR59" s="298" t="s">
        <v>293</v>
      </c>
      <c r="AS59" s="298" t="s">
        <v>83</v>
      </c>
      <c r="AT59" s="290" t="s">
        <v>91</v>
      </c>
      <c r="AU59" s="411" t="s">
        <v>26</v>
      </c>
      <c r="AV59" s="364" t="str">
        <f t="shared" si="0"/>
        <v>Config - 205, UHF x C Link, UHF LNA-1, UHF DA-5, Ch EPC - M, DP IP port - 4, Ch Card - M2, Router - M, CDU - M, Sy EPC - M, DP OP port - 1, Sy Card - M, UHF x C U/C - 1, UHF x C C SSPA - 1</v>
      </c>
      <c r="AW59" s="123"/>
      <c r="AX59" s="123"/>
      <c r="AY59" s="123"/>
      <c r="AZ59" s="123"/>
      <c r="BA59" s="123"/>
      <c r="BB59" s="123"/>
      <c r="BC59" s="123"/>
      <c r="BD59" s="123"/>
      <c r="BE59" s="123"/>
    </row>
    <row r="60" spans="1:57" s="124" customFormat="1" ht="37.5" x14ac:dyDescent="0.25">
      <c r="A60" s="290">
        <v>206</v>
      </c>
      <c r="B60" s="290">
        <v>36</v>
      </c>
      <c r="C60" s="409">
        <v>302.91640599999999</v>
      </c>
      <c r="D60" s="409">
        <v>4175.9164060000003</v>
      </c>
      <c r="E60" s="410">
        <v>5</v>
      </c>
      <c r="F60" s="290"/>
      <c r="G60" s="290" t="s">
        <v>253</v>
      </c>
      <c r="H60" s="298" t="s">
        <v>254</v>
      </c>
      <c r="I60" s="290" t="s">
        <v>83</v>
      </c>
      <c r="J60" s="290" t="s">
        <v>295</v>
      </c>
      <c r="K60" s="298" t="s">
        <v>256</v>
      </c>
      <c r="L60" s="290" t="s">
        <v>83</v>
      </c>
      <c r="M60" s="290" t="s">
        <v>258</v>
      </c>
      <c r="N60" s="290" t="s">
        <v>83</v>
      </c>
      <c r="O60" s="298" t="s">
        <v>598</v>
      </c>
      <c r="P60" s="298" t="s">
        <v>232</v>
      </c>
      <c r="Q60" s="290" t="s">
        <v>299</v>
      </c>
      <c r="R60" s="298" t="s">
        <v>599</v>
      </c>
      <c r="S60" s="298" t="s">
        <v>228</v>
      </c>
      <c r="T60" s="290" t="s">
        <v>608</v>
      </c>
      <c r="U60" s="298">
        <v>3</v>
      </c>
      <c r="V60" s="290" t="s">
        <v>120</v>
      </c>
      <c r="W60" s="298">
        <v>3</v>
      </c>
      <c r="X60" s="298" t="s">
        <v>137</v>
      </c>
      <c r="Y60" s="298" t="s">
        <v>316</v>
      </c>
      <c r="Z60" s="298" t="s">
        <v>317</v>
      </c>
      <c r="AA60" s="290" t="s">
        <v>120</v>
      </c>
      <c r="AB60" s="290" t="s">
        <v>120</v>
      </c>
      <c r="AC60" s="290" t="s">
        <v>120</v>
      </c>
      <c r="AD60" s="298">
        <v>1</v>
      </c>
      <c r="AE60" s="298" t="s">
        <v>120</v>
      </c>
      <c r="AF60" s="298" t="s">
        <v>120</v>
      </c>
      <c r="AG60" s="298" t="s">
        <v>121</v>
      </c>
      <c r="AH60" s="298" t="s">
        <v>312</v>
      </c>
      <c r="AI60" s="290" t="s">
        <v>83</v>
      </c>
      <c r="AJ60" s="290" t="s">
        <v>286</v>
      </c>
      <c r="AK60" s="290" t="s">
        <v>83</v>
      </c>
      <c r="AL60" s="298" t="s">
        <v>314</v>
      </c>
      <c r="AM60" s="290" t="s">
        <v>288</v>
      </c>
      <c r="AN60" s="290" t="s">
        <v>83</v>
      </c>
      <c r="AO60" s="298" t="s">
        <v>290</v>
      </c>
      <c r="AP60" s="298" t="s">
        <v>83</v>
      </c>
      <c r="AQ60" s="298" t="s">
        <v>315</v>
      </c>
      <c r="AR60" s="298" t="s">
        <v>293</v>
      </c>
      <c r="AS60" s="298" t="s">
        <v>83</v>
      </c>
      <c r="AT60" s="290" t="s">
        <v>91</v>
      </c>
      <c r="AU60" s="411" t="s">
        <v>26</v>
      </c>
      <c r="AV60" s="364" t="str">
        <f t="shared" si="0"/>
        <v>Config - 206, UHF x C Link, UHF LNA-1, UHF DA-4, Ch EPC - M, DP IP port - 3, Ch Card - M2, Router - M, CDU - M, Sy EPC - M, DP OP port - 1, Sy Card - M, UHF x C U/C - 1, UHF x C C SSPA - 1</v>
      </c>
      <c r="AW60" s="123"/>
      <c r="AX60" s="123"/>
      <c r="AY60" s="123"/>
      <c r="AZ60" s="123"/>
      <c r="BA60" s="123"/>
      <c r="BB60" s="123"/>
      <c r="BC60" s="123"/>
      <c r="BD60" s="123"/>
      <c r="BE60" s="123"/>
    </row>
    <row r="61" spans="1:57" s="152" customFormat="1" ht="37.5" x14ac:dyDescent="0.25">
      <c r="A61" s="291">
        <v>207</v>
      </c>
      <c r="B61" s="291">
        <v>12</v>
      </c>
      <c r="C61" s="412">
        <v>292.00234399999999</v>
      </c>
      <c r="D61" s="412">
        <v>4165.0023440000004</v>
      </c>
      <c r="E61" s="413">
        <v>5</v>
      </c>
      <c r="F61" s="291"/>
      <c r="G61" s="291" t="s">
        <v>253</v>
      </c>
      <c r="H61" s="299" t="s">
        <v>254</v>
      </c>
      <c r="I61" s="356" t="s">
        <v>88</v>
      </c>
      <c r="J61" s="356" t="s">
        <v>333</v>
      </c>
      <c r="K61" s="299" t="s">
        <v>256</v>
      </c>
      <c r="L61" s="356" t="s">
        <v>88</v>
      </c>
      <c r="M61" s="291" t="s">
        <v>258</v>
      </c>
      <c r="N61" s="291" t="s">
        <v>83</v>
      </c>
      <c r="O61" s="299" t="s">
        <v>302</v>
      </c>
      <c r="P61" s="299" t="s">
        <v>228</v>
      </c>
      <c r="Q61" s="291" t="s">
        <v>334</v>
      </c>
      <c r="R61" s="299" t="s">
        <v>600</v>
      </c>
      <c r="S61" s="299" t="s">
        <v>232</v>
      </c>
      <c r="T61" s="299" t="s">
        <v>337</v>
      </c>
      <c r="U61" s="299">
        <v>1</v>
      </c>
      <c r="V61" s="291" t="s">
        <v>121</v>
      </c>
      <c r="W61" s="299">
        <v>1</v>
      </c>
      <c r="X61" s="299" t="s">
        <v>209</v>
      </c>
      <c r="Y61" s="299" t="s">
        <v>316</v>
      </c>
      <c r="Z61" s="299" t="s">
        <v>317</v>
      </c>
      <c r="AA61" s="291" t="s">
        <v>121</v>
      </c>
      <c r="AB61" s="291" t="s">
        <v>121</v>
      </c>
      <c r="AC61" s="291" t="s">
        <v>121</v>
      </c>
      <c r="AD61" s="414">
        <v>2</v>
      </c>
      <c r="AE61" s="357" t="s">
        <v>121</v>
      </c>
      <c r="AF61" s="357" t="s">
        <v>121</v>
      </c>
      <c r="AG61" s="357" t="s">
        <v>120</v>
      </c>
      <c r="AH61" s="299" t="s">
        <v>312</v>
      </c>
      <c r="AI61" s="356" t="s">
        <v>88</v>
      </c>
      <c r="AJ61" s="291" t="s">
        <v>286</v>
      </c>
      <c r="AK61" s="356" t="s">
        <v>88</v>
      </c>
      <c r="AL61" s="357" t="s">
        <v>335</v>
      </c>
      <c r="AM61" s="291" t="s">
        <v>288</v>
      </c>
      <c r="AN61" s="356" t="s">
        <v>88</v>
      </c>
      <c r="AO61" s="299" t="s">
        <v>290</v>
      </c>
      <c r="AP61" s="357" t="s">
        <v>88</v>
      </c>
      <c r="AQ61" s="357" t="s">
        <v>336</v>
      </c>
      <c r="AR61" s="299" t="s">
        <v>293</v>
      </c>
      <c r="AS61" s="357" t="s">
        <v>88</v>
      </c>
      <c r="AT61" s="291" t="s">
        <v>91</v>
      </c>
      <c r="AU61" s="415" t="s">
        <v>26</v>
      </c>
      <c r="AV61" s="364" t="str">
        <f t="shared" si="0"/>
        <v>Config - 207, UHF x C Link, UHF LNA-R1, UHF DA-R1, Ch EPC - R, DP IP port - 1, Ch Card - M1, Router - R, CDU - R, Sy EPC - R, DP OP port - 2, Sy Card - R, UHF x C U/C - R1, UHF x C C SSPA - R1</v>
      </c>
      <c r="AW61" s="135"/>
      <c r="AX61" s="135"/>
      <c r="AY61" s="135"/>
      <c r="AZ61" s="135"/>
      <c r="BA61" s="135"/>
      <c r="BB61" s="135"/>
      <c r="BC61" s="135"/>
      <c r="BD61" s="135"/>
      <c r="BE61" s="135"/>
    </row>
    <row r="62" spans="1:57" s="152" customFormat="1" ht="37.5" x14ac:dyDescent="0.25">
      <c r="A62" s="291">
        <v>208</v>
      </c>
      <c r="B62" s="291">
        <v>15</v>
      </c>
      <c r="C62" s="412">
        <v>296.83984400000003</v>
      </c>
      <c r="D62" s="412">
        <v>4169.8398440000001</v>
      </c>
      <c r="E62" s="413">
        <v>25</v>
      </c>
      <c r="F62" s="291"/>
      <c r="G62" s="291" t="s">
        <v>253</v>
      </c>
      <c r="H62" s="299" t="s">
        <v>254</v>
      </c>
      <c r="I62" s="356" t="s">
        <v>88</v>
      </c>
      <c r="J62" s="356" t="s">
        <v>333</v>
      </c>
      <c r="K62" s="299" t="s">
        <v>256</v>
      </c>
      <c r="L62" s="356" t="s">
        <v>88</v>
      </c>
      <c r="M62" s="291" t="s">
        <v>258</v>
      </c>
      <c r="N62" s="291" t="s">
        <v>83</v>
      </c>
      <c r="O62" s="299" t="s">
        <v>302</v>
      </c>
      <c r="P62" s="299" t="s">
        <v>228</v>
      </c>
      <c r="Q62" s="291" t="s">
        <v>296</v>
      </c>
      <c r="R62" s="299" t="s">
        <v>593</v>
      </c>
      <c r="S62" s="299" t="s">
        <v>232</v>
      </c>
      <c r="T62" s="299" t="s">
        <v>337</v>
      </c>
      <c r="U62" s="299">
        <v>1</v>
      </c>
      <c r="V62" s="291" t="s">
        <v>121</v>
      </c>
      <c r="W62" s="299">
        <v>2</v>
      </c>
      <c r="X62" s="299" t="s">
        <v>209</v>
      </c>
      <c r="Y62" s="299" t="s">
        <v>316</v>
      </c>
      <c r="Z62" s="299" t="s">
        <v>317</v>
      </c>
      <c r="AA62" s="291" t="s">
        <v>121</v>
      </c>
      <c r="AB62" s="291" t="s">
        <v>121</v>
      </c>
      <c r="AC62" s="291" t="s">
        <v>121</v>
      </c>
      <c r="AD62" s="414">
        <v>2</v>
      </c>
      <c r="AE62" s="357" t="s">
        <v>121</v>
      </c>
      <c r="AF62" s="357" t="s">
        <v>121</v>
      </c>
      <c r="AG62" s="357" t="s">
        <v>120</v>
      </c>
      <c r="AH62" s="299" t="s">
        <v>312</v>
      </c>
      <c r="AI62" s="356" t="s">
        <v>88</v>
      </c>
      <c r="AJ62" s="291" t="s">
        <v>286</v>
      </c>
      <c r="AK62" s="356" t="s">
        <v>88</v>
      </c>
      <c r="AL62" s="357" t="s">
        <v>335</v>
      </c>
      <c r="AM62" s="291" t="s">
        <v>288</v>
      </c>
      <c r="AN62" s="356" t="s">
        <v>88</v>
      </c>
      <c r="AO62" s="299" t="s">
        <v>290</v>
      </c>
      <c r="AP62" s="357" t="s">
        <v>88</v>
      </c>
      <c r="AQ62" s="357" t="s">
        <v>336</v>
      </c>
      <c r="AR62" s="299" t="s">
        <v>293</v>
      </c>
      <c r="AS62" s="357" t="s">
        <v>88</v>
      </c>
      <c r="AT62" s="291" t="s">
        <v>91</v>
      </c>
      <c r="AU62" s="415" t="s">
        <v>26</v>
      </c>
      <c r="AV62" s="364" t="str">
        <f t="shared" si="0"/>
        <v>Config - 208, UHF x C Link, UHF LNA-R1, UHF DA-1, Ch EPC - R, DP IP port - 2, Ch Card - M1, Router - R, CDU - R, Sy EPC - R, DP OP port - 2, Sy Card - R, UHF x C U/C - R1, UHF x C C SSPA - R1</v>
      </c>
      <c r="AW62" s="135"/>
      <c r="AX62" s="135"/>
      <c r="AY62" s="135"/>
      <c r="AZ62" s="135"/>
      <c r="BA62" s="135"/>
      <c r="BB62" s="135"/>
      <c r="BC62" s="135"/>
      <c r="BD62" s="135"/>
      <c r="BE62" s="135"/>
    </row>
    <row r="63" spans="1:57" s="152" customFormat="1" ht="37.5" x14ac:dyDescent="0.25">
      <c r="A63" s="291">
        <v>209</v>
      </c>
      <c r="B63" s="291">
        <v>18</v>
      </c>
      <c r="C63" s="412">
        <v>306.13906200000002</v>
      </c>
      <c r="D63" s="412">
        <v>4179.1390629999996</v>
      </c>
      <c r="E63" s="413">
        <v>5</v>
      </c>
      <c r="F63" s="291"/>
      <c r="G63" s="291" t="s">
        <v>253</v>
      </c>
      <c r="H63" s="299" t="s">
        <v>254</v>
      </c>
      <c r="I63" s="356" t="s">
        <v>88</v>
      </c>
      <c r="J63" s="356" t="s">
        <v>333</v>
      </c>
      <c r="K63" s="299" t="s">
        <v>256</v>
      </c>
      <c r="L63" s="356" t="s">
        <v>88</v>
      </c>
      <c r="M63" s="291" t="s">
        <v>258</v>
      </c>
      <c r="N63" s="291" t="s">
        <v>83</v>
      </c>
      <c r="O63" s="299" t="s">
        <v>598</v>
      </c>
      <c r="P63" s="299" t="s">
        <v>228</v>
      </c>
      <c r="Q63" s="291" t="s">
        <v>298</v>
      </c>
      <c r="R63" s="299" t="s">
        <v>597</v>
      </c>
      <c r="S63" s="299" t="s">
        <v>232</v>
      </c>
      <c r="T63" s="299" t="s">
        <v>337</v>
      </c>
      <c r="U63" s="299">
        <v>1</v>
      </c>
      <c r="V63" s="291" t="s">
        <v>121</v>
      </c>
      <c r="W63" s="299">
        <v>4</v>
      </c>
      <c r="X63" s="299" t="s">
        <v>137</v>
      </c>
      <c r="Y63" s="299" t="s">
        <v>316</v>
      </c>
      <c r="Z63" s="299" t="s">
        <v>317</v>
      </c>
      <c r="AA63" s="291" t="s">
        <v>121</v>
      </c>
      <c r="AB63" s="291" t="s">
        <v>121</v>
      </c>
      <c r="AC63" s="291" t="s">
        <v>121</v>
      </c>
      <c r="AD63" s="414">
        <v>2</v>
      </c>
      <c r="AE63" s="357" t="s">
        <v>121</v>
      </c>
      <c r="AF63" s="357" t="s">
        <v>121</v>
      </c>
      <c r="AG63" s="357" t="s">
        <v>120</v>
      </c>
      <c r="AH63" s="299" t="s">
        <v>312</v>
      </c>
      <c r="AI63" s="356" t="s">
        <v>88</v>
      </c>
      <c r="AJ63" s="291" t="s">
        <v>286</v>
      </c>
      <c r="AK63" s="356" t="s">
        <v>88</v>
      </c>
      <c r="AL63" s="357" t="s">
        <v>335</v>
      </c>
      <c r="AM63" s="291" t="s">
        <v>288</v>
      </c>
      <c r="AN63" s="356" t="s">
        <v>88</v>
      </c>
      <c r="AO63" s="299" t="s">
        <v>290</v>
      </c>
      <c r="AP63" s="357" t="s">
        <v>88</v>
      </c>
      <c r="AQ63" s="357" t="s">
        <v>336</v>
      </c>
      <c r="AR63" s="299" t="s">
        <v>293</v>
      </c>
      <c r="AS63" s="357" t="s">
        <v>88</v>
      </c>
      <c r="AT63" s="291" t="s">
        <v>91</v>
      </c>
      <c r="AU63" s="415" t="s">
        <v>26</v>
      </c>
      <c r="AV63" s="364" t="str">
        <f t="shared" si="0"/>
        <v>Config - 209, UHF x C Link, UHF LNA-R1, UHF DA-3, Ch EPC - R, DP IP port - 4, Ch Card - M2, Router - R, CDU - R, Sy EPC - R, DP OP port - 2, Sy Card - R, UHF x C U/C - R1, UHF x C C SSPA - R1</v>
      </c>
      <c r="AW63" s="135"/>
      <c r="AX63" s="135"/>
      <c r="AY63" s="135"/>
      <c r="AZ63" s="135"/>
      <c r="BA63" s="135"/>
      <c r="BB63" s="135"/>
      <c r="BC63" s="135"/>
      <c r="BD63" s="135"/>
      <c r="BE63" s="135"/>
    </row>
    <row r="64" spans="1:57" s="231" customFormat="1" ht="37.5" x14ac:dyDescent="0.25">
      <c r="A64" s="416">
        <v>210</v>
      </c>
      <c r="B64" s="416">
        <v>51</v>
      </c>
      <c r="C64" s="417">
        <v>303.74921899999998</v>
      </c>
      <c r="D64" s="417">
        <v>4176.7492190000003</v>
      </c>
      <c r="E64" s="418">
        <v>25</v>
      </c>
      <c r="F64" s="416"/>
      <c r="G64" s="416" t="s">
        <v>253</v>
      </c>
      <c r="H64" s="297" t="s">
        <v>254</v>
      </c>
      <c r="I64" s="358" t="s">
        <v>88</v>
      </c>
      <c r="J64" s="358" t="s">
        <v>333</v>
      </c>
      <c r="K64" s="297" t="s">
        <v>256</v>
      </c>
      <c r="L64" s="358" t="s">
        <v>88</v>
      </c>
      <c r="M64" s="416" t="s">
        <v>258</v>
      </c>
      <c r="N64" s="416" t="s">
        <v>83</v>
      </c>
      <c r="O64" s="297" t="s">
        <v>588</v>
      </c>
      <c r="P64" s="297" t="s">
        <v>228</v>
      </c>
      <c r="Q64" s="416" t="s">
        <v>297</v>
      </c>
      <c r="R64" s="297" t="s">
        <v>592</v>
      </c>
      <c r="S64" s="297" t="s">
        <v>232</v>
      </c>
      <c r="T64" s="297" t="s">
        <v>337</v>
      </c>
      <c r="U64" s="297">
        <v>4</v>
      </c>
      <c r="V64" s="416" t="s">
        <v>121</v>
      </c>
      <c r="W64" s="297">
        <v>3</v>
      </c>
      <c r="X64" s="297" t="s">
        <v>137</v>
      </c>
      <c r="Y64" s="297" t="s">
        <v>601</v>
      </c>
      <c r="Z64" s="297" t="s">
        <v>602</v>
      </c>
      <c r="AA64" s="416" t="s">
        <v>121</v>
      </c>
      <c r="AB64" s="416" t="s">
        <v>121</v>
      </c>
      <c r="AC64" s="416" t="s">
        <v>121</v>
      </c>
      <c r="AD64" s="419">
        <v>2</v>
      </c>
      <c r="AE64" s="359" t="s">
        <v>121</v>
      </c>
      <c r="AF64" s="359" t="s">
        <v>121</v>
      </c>
      <c r="AG64" s="359" t="s">
        <v>120</v>
      </c>
      <c r="AH64" s="297" t="s">
        <v>312</v>
      </c>
      <c r="AI64" s="358" t="s">
        <v>88</v>
      </c>
      <c r="AJ64" s="416" t="s">
        <v>286</v>
      </c>
      <c r="AK64" s="358" t="s">
        <v>88</v>
      </c>
      <c r="AL64" s="359" t="s">
        <v>335</v>
      </c>
      <c r="AM64" s="416" t="s">
        <v>288</v>
      </c>
      <c r="AN64" s="358" t="s">
        <v>88</v>
      </c>
      <c r="AO64" s="297" t="s">
        <v>290</v>
      </c>
      <c r="AP64" s="359" t="s">
        <v>88</v>
      </c>
      <c r="AQ64" s="359" t="s">
        <v>336</v>
      </c>
      <c r="AR64" s="297" t="s">
        <v>293</v>
      </c>
      <c r="AS64" s="359" t="s">
        <v>88</v>
      </c>
      <c r="AT64" s="416" t="s">
        <v>91</v>
      </c>
      <c r="AU64" s="420" t="s">
        <v>26</v>
      </c>
      <c r="AV64" s="364" t="str">
        <f t="shared" si="0"/>
        <v>Config - 210, UHF x C Link, UHF LNA-R1, UHF DA-2, Ch EPC - R, DP IP port - 3, Ch Card - M2, Router - R, CDU - R, Sy EPC - R, DP OP port - 2, Sy Card - R, UHF x C U/C - R1, UHF x C C SSPA - R1</v>
      </c>
      <c r="AW64" s="134"/>
      <c r="AX64" s="134"/>
      <c r="AY64" s="134"/>
      <c r="AZ64" s="134"/>
      <c r="BA64" s="134"/>
      <c r="BB64" s="134"/>
      <c r="BC64" s="134"/>
      <c r="BD64" s="134"/>
      <c r="BE64" s="134"/>
    </row>
    <row r="65" spans="1:57" s="231" customFormat="1" ht="37.5" x14ac:dyDescent="0.25">
      <c r="A65" s="416">
        <v>211</v>
      </c>
      <c r="B65" s="416">
        <v>54</v>
      </c>
      <c r="C65" s="417">
        <v>313.05859400000003</v>
      </c>
      <c r="D65" s="417">
        <v>4166.0585940000001</v>
      </c>
      <c r="E65" s="418">
        <v>5</v>
      </c>
      <c r="F65" s="416"/>
      <c r="G65" s="416" t="s">
        <v>253</v>
      </c>
      <c r="H65" s="297" t="s">
        <v>254</v>
      </c>
      <c r="I65" s="358" t="s">
        <v>88</v>
      </c>
      <c r="J65" s="358" t="s">
        <v>333</v>
      </c>
      <c r="K65" s="297" t="s">
        <v>256</v>
      </c>
      <c r="L65" s="358" t="s">
        <v>88</v>
      </c>
      <c r="M65" s="416" t="s">
        <v>258</v>
      </c>
      <c r="N65" s="416" t="s">
        <v>83</v>
      </c>
      <c r="O65" s="297" t="s">
        <v>596</v>
      </c>
      <c r="P65" s="297" t="s">
        <v>228</v>
      </c>
      <c r="Q65" s="416" t="s">
        <v>299</v>
      </c>
      <c r="R65" s="297" t="s">
        <v>597</v>
      </c>
      <c r="S65" s="297" t="s">
        <v>232</v>
      </c>
      <c r="T65" s="297" t="s">
        <v>337</v>
      </c>
      <c r="U65" s="297">
        <v>4</v>
      </c>
      <c r="V65" s="416" t="s">
        <v>121</v>
      </c>
      <c r="W65" s="297">
        <v>5</v>
      </c>
      <c r="X65" s="297" t="s">
        <v>114</v>
      </c>
      <c r="Y65" s="297" t="s">
        <v>601</v>
      </c>
      <c r="Z65" s="297" t="s">
        <v>602</v>
      </c>
      <c r="AA65" s="416" t="s">
        <v>121</v>
      </c>
      <c r="AB65" s="416" t="s">
        <v>121</v>
      </c>
      <c r="AC65" s="416" t="s">
        <v>121</v>
      </c>
      <c r="AD65" s="419">
        <v>2</v>
      </c>
      <c r="AE65" s="359" t="s">
        <v>121</v>
      </c>
      <c r="AF65" s="359" t="s">
        <v>121</v>
      </c>
      <c r="AG65" s="359" t="s">
        <v>120</v>
      </c>
      <c r="AH65" s="297" t="s">
        <v>312</v>
      </c>
      <c r="AI65" s="358" t="s">
        <v>88</v>
      </c>
      <c r="AJ65" s="416" t="s">
        <v>286</v>
      </c>
      <c r="AK65" s="358" t="s">
        <v>88</v>
      </c>
      <c r="AL65" s="359" t="s">
        <v>335</v>
      </c>
      <c r="AM65" s="416" t="s">
        <v>288</v>
      </c>
      <c r="AN65" s="358" t="s">
        <v>88</v>
      </c>
      <c r="AO65" s="297" t="s">
        <v>290</v>
      </c>
      <c r="AP65" s="359" t="s">
        <v>88</v>
      </c>
      <c r="AQ65" s="359" t="s">
        <v>336</v>
      </c>
      <c r="AR65" s="297" t="s">
        <v>293</v>
      </c>
      <c r="AS65" s="359" t="s">
        <v>88</v>
      </c>
      <c r="AT65" s="416" t="s">
        <v>91</v>
      </c>
      <c r="AU65" s="420" t="s">
        <v>26</v>
      </c>
      <c r="AV65" s="364" t="str">
        <f t="shared" si="0"/>
        <v>Config - 211, UHF x C Link, UHF LNA-R1, UHF DA-4, Ch EPC - R, DP IP port - 5, Ch Card - R1, Router - R, CDU - R, Sy EPC - R, DP OP port - 2, Sy Card - R, UHF x C U/C - R1, UHF x C C SSPA - R1</v>
      </c>
      <c r="AW65" s="134"/>
      <c r="AX65" s="134"/>
      <c r="AY65" s="134"/>
      <c r="AZ65" s="134"/>
      <c r="BA65" s="134"/>
      <c r="BB65" s="134"/>
      <c r="BC65" s="134"/>
      <c r="BD65" s="134"/>
      <c r="BE65" s="134"/>
    </row>
    <row r="66" spans="1:57" s="231" customFormat="1" ht="37.5" x14ac:dyDescent="0.25">
      <c r="A66" s="416">
        <v>212</v>
      </c>
      <c r="B66" s="429">
        <v>300</v>
      </c>
      <c r="C66" s="417">
        <v>317.5</v>
      </c>
      <c r="D66" s="417">
        <f>C66+3853</f>
        <v>4170.5</v>
      </c>
      <c r="E66" s="418">
        <v>5</v>
      </c>
      <c r="F66" s="416"/>
      <c r="G66" s="416" t="s">
        <v>253</v>
      </c>
      <c r="H66" s="297" t="s">
        <v>254</v>
      </c>
      <c r="I66" s="358" t="s">
        <v>88</v>
      </c>
      <c r="J66" s="358" t="s">
        <v>333</v>
      </c>
      <c r="K66" s="297" t="s">
        <v>256</v>
      </c>
      <c r="L66" s="358" t="s">
        <v>88</v>
      </c>
      <c r="M66" s="416" t="s">
        <v>258</v>
      </c>
      <c r="N66" s="416" t="s">
        <v>83</v>
      </c>
      <c r="O66" s="297" t="s">
        <v>306</v>
      </c>
      <c r="P66" s="297" t="s">
        <v>228</v>
      </c>
      <c r="Q66" s="416" t="s">
        <v>301</v>
      </c>
      <c r="R66" s="297" t="s">
        <v>310</v>
      </c>
      <c r="S66" s="297" t="s">
        <v>232</v>
      </c>
      <c r="T66" s="297" t="s">
        <v>337</v>
      </c>
      <c r="U66" s="297">
        <v>5</v>
      </c>
      <c r="V66" s="416" t="s">
        <v>121</v>
      </c>
      <c r="W66" s="297">
        <v>6</v>
      </c>
      <c r="X66" s="297" t="s">
        <v>114</v>
      </c>
      <c r="Y66" s="297" t="s">
        <v>601</v>
      </c>
      <c r="Z66" s="297" t="s">
        <v>602</v>
      </c>
      <c r="AA66" s="416" t="s">
        <v>121</v>
      </c>
      <c r="AB66" s="416" t="s">
        <v>121</v>
      </c>
      <c r="AC66" s="416" t="s">
        <v>121</v>
      </c>
      <c r="AD66" s="419">
        <v>2</v>
      </c>
      <c r="AE66" s="359" t="s">
        <v>121</v>
      </c>
      <c r="AF66" s="359" t="s">
        <v>121</v>
      </c>
      <c r="AG66" s="359" t="s">
        <v>120</v>
      </c>
      <c r="AH66" s="297" t="s">
        <v>312</v>
      </c>
      <c r="AI66" s="358" t="s">
        <v>88</v>
      </c>
      <c r="AJ66" s="416" t="s">
        <v>286</v>
      </c>
      <c r="AK66" s="358" t="s">
        <v>88</v>
      </c>
      <c r="AL66" s="359" t="s">
        <v>335</v>
      </c>
      <c r="AM66" s="416" t="s">
        <v>288</v>
      </c>
      <c r="AN66" s="358" t="s">
        <v>88</v>
      </c>
      <c r="AO66" s="297" t="s">
        <v>290</v>
      </c>
      <c r="AP66" s="359" t="s">
        <v>88</v>
      </c>
      <c r="AQ66" s="359" t="s">
        <v>336</v>
      </c>
      <c r="AR66" s="297" t="s">
        <v>293</v>
      </c>
      <c r="AS66" s="359" t="s">
        <v>88</v>
      </c>
      <c r="AT66" s="416" t="s">
        <v>91</v>
      </c>
      <c r="AU66" s="420" t="s">
        <v>26</v>
      </c>
      <c r="AV66" s="364" t="str">
        <f t="shared" si="0"/>
        <v>Config - 212, UHF x C Link, UHF LNA-R1, UHF DA-5, Ch EPC - R, DP IP port - 6, Ch Card - R1, Router - R, CDU - R, Sy EPC - R, DP OP port - 2, Sy Card - R, UHF x C U/C - R1, UHF x C C SSPA - R1</v>
      </c>
      <c r="AW66" s="134"/>
      <c r="AX66" s="134"/>
      <c r="AY66" s="134"/>
      <c r="AZ66" s="134"/>
      <c r="BA66" s="134"/>
      <c r="BB66" s="134"/>
      <c r="BC66" s="134"/>
      <c r="BD66" s="134"/>
      <c r="BE66" s="134"/>
    </row>
    <row r="67" spans="1:57" s="284" customFormat="1" ht="37.5" x14ac:dyDescent="0.25">
      <c r="A67" s="421">
        <v>213</v>
      </c>
      <c r="B67" s="421">
        <v>12</v>
      </c>
      <c r="C67" s="422">
        <v>292.00234399999999</v>
      </c>
      <c r="D67" s="422">
        <v>4165.0023440000004</v>
      </c>
      <c r="E67" s="423">
        <v>5</v>
      </c>
      <c r="F67" s="421"/>
      <c r="G67" s="421" t="s">
        <v>253</v>
      </c>
      <c r="H67" s="424" t="s">
        <v>254</v>
      </c>
      <c r="I67" s="360" t="s">
        <v>88</v>
      </c>
      <c r="J67" s="360" t="s">
        <v>333</v>
      </c>
      <c r="K67" s="424" t="s">
        <v>256</v>
      </c>
      <c r="L67" s="360" t="s">
        <v>88</v>
      </c>
      <c r="M67" s="421" t="s">
        <v>258</v>
      </c>
      <c r="N67" s="421" t="s">
        <v>83</v>
      </c>
      <c r="O67" s="424" t="s">
        <v>603</v>
      </c>
      <c r="P67" s="424" t="s">
        <v>380</v>
      </c>
      <c r="Q67" s="421" t="s">
        <v>334</v>
      </c>
      <c r="R67" s="424" t="s">
        <v>604</v>
      </c>
      <c r="S67" s="424" t="s">
        <v>88</v>
      </c>
      <c r="T67" s="424" t="s">
        <v>607</v>
      </c>
      <c r="U67" s="424">
        <v>1</v>
      </c>
      <c r="V67" s="421" t="s">
        <v>121</v>
      </c>
      <c r="W67" s="424" t="s">
        <v>114</v>
      </c>
      <c r="X67" s="424" t="s">
        <v>115</v>
      </c>
      <c r="Y67" s="361" t="s">
        <v>115</v>
      </c>
      <c r="Z67" s="424" t="s">
        <v>138</v>
      </c>
      <c r="AA67" s="421" t="s">
        <v>121</v>
      </c>
      <c r="AB67" s="421" t="s">
        <v>121</v>
      </c>
      <c r="AC67" s="421" t="s">
        <v>121</v>
      </c>
      <c r="AD67" s="425">
        <v>2</v>
      </c>
      <c r="AE67" s="361" t="s">
        <v>121</v>
      </c>
      <c r="AF67" s="361" t="s">
        <v>121</v>
      </c>
      <c r="AG67" s="361" t="s">
        <v>120</v>
      </c>
      <c r="AH67" s="424" t="s">
        <v>312</v>
      </c>
      <c r="AI67" s="360" t="s">
        <v>88</v>
      </c>
      <c r="AJ67" s="421" t="s">
        <v>286</v>
      </c>
      <c r="AK67" s="360" t="s">
        <v>88</v>
      </c>
      <c r="AL67" s="361" t="s">
        <v>335</v>
      </c>
      <c r="AM67" s="421" t="s">
        <v>288</v>
      </c>
      <c r="AN67" s="360" t="s">
        <v>88</v>
      </c>
      <c r="AO67" s="424" t="s">
        <v>290</v>
      </c>
      <c r="AP67" s="361" t="s">
        <v>88</v>
      </c>
      <c r="AQ67" s="361" t="s">
        <v>336</v>
      </c>
      <c r="AR67" s="424" t="s">
        <v>293</v>
      </c>
      <c r="AS67" s="361" t="s">
        <v>88</v>
      </c>
      <c r="AT67" s="421" t="s">
        <v>91</v>
      </c>
      <c r="AU67" s="426" t="s">
        <v>26</v>
      </c>
      <c r="AV67" s="364" t="str">
        <f t="shared" ref="AV67:AV68" si="1">CONCATENATE("Config - ",A67, ", UHF x C Link, ",J67,", ",Q67,", ","Ch EPC - ",V67,", DP IP port - ",W67,", Ch Card - ",X67,", Router - ",AA67,", CDU - ",AB67,", Sy EPC - ",AC67,", DP OP port - ",AD67,", Sy Card - ",AE67, ", ",AL67, ", ",AQ67)</f>
        <v>Config - 213, UHF x C Link, UHF LNA-R1, UHF DA-R1, Ch EPC - R, DP IP port - R1, Ch Card - R2, Router - R, CDU - R, Sy EPC - R, DP OP port - 2, Sy Card - R, UHF x C U/C - R1, UHF x C C SSPA - R1</v>
      </c>
      <c r="AW67" s="283"/>
      <c r="AX67" s="283"/>
      <c r="AY67" s="283"/>
      <c r="AZ67" s="283"/>
      <c r="BA67" s="283"/>
      <c r="BB67" s="283"/>
      <c r="BC67" s="283"/>
      <c r="BD67" s="283"/>
      <c r="BE67" s="283"/>
    </row>
    <row r="68" spans="1:57" s="284" customFormat="1" ht="37.5" x14ac:dyDescent="0.25">
      <c r="A68" s="421">
        <v>214</v>
      </c>
      <c r="B68" s="430">
        <v>300</v>
      </c>
      <c r="C68" s="422">
        <v>317.5</v>
      </c>
      <c r="D68" s="422">
        <f>C68+3853</f>
        <v>4170.5</v>
      </c>
      <c r="E68" s="423">
        <v>5</v>
      </c>
      <c r="F68" s="421"/>
      <c r="G68" s="421" t="s">
        <v>253</v>
      </c>
      <c r="H68" s="424" t="s">
        <v>254</v>
      </c>
      <c r="I68" s="360" t="s">
        <v>88</v>
      </c>
      <c r="J68" s="360" t="s">
        <v>333</v>
      </c>
      <c r="K68" s="424" t="s">
        <v>256</v>
      </c>
      <c r="L68" s="360" t="s">
        <v>88</v>
      </c>
      <c r="M68" s="421" t="s">
        <v>258</v>
      </c>
      <c r="N68" s="421" t="s">
        <v>83</v>
      </c>
      <c r="O68" s="424" t="s">
        <v>605</v>
      </c>
      <c r="P68" s="424" t="s">
        <v>83</v>
      </c>
      <c r="Q68" s="421" t="s">
        <v>594</v>
      </c>
      <c r="R68" s="424" t="s">
        <v>606</v>
      </c>
      <c r="S68" s="424" t="s">
        <v>88</v>
      </c>
      <c r="T68" s="424" t="s">
        <v>607</v>
      </c>
      <c r="U68" s="424">
        <v>5</v>
      </c>
      <c r="V68" s="421" t="s">
        <v>121</v>
      </c>
      <c r="W68" s="424" t="s">
        <v>115</v>
      </c>
      <c r="X68" s="424" t="s">
        <v>115</v>
      </c>
      <c r="Y68" s="424" t="s">
        <v>115</v>
      </c>
      <c r="Z68" s="424" t="s">
        <v>138</v>
      </c>
      <c r="AA68" s="421" t="s">
        <v>121</v>
      </c>
      <c r="AB68" s="421" t="s">
        <v>121</v>
      </c>
      <c r="AC68" s="421" t="s">
        <v>121</v>
      </c>
      <c r="AD68" s="425">
        <v>2</v>
      </c>
      <c r="AE68" s="361" t="s">
        <v>121</v>
      </c>
      <c r="AF68" s="361" t="s">
        <v>121</v>
      </c>
      <c r="AG68" s="361" t="s">
        <v>120</v>
      </c>
      <c r="AH68" s="424" t="s">
        <v>312</v>
      </c>
      <c r="AI68" s="360" t="s">
        <v>88</v>
      </c>
      <c r="AJ68" s="421" t="s">
        <v>286</v>
      </c>
      <c r="AK68" s="360" t="s">
        <v>88</v>
      </c>
      <c r="AL68" s="361" t="s">
        <v>335</v>
      </c>
      <c r="AM68" s="421" t="s">
        <v>288</v>
      </c>
      <c r="AN68" s="360" t="s">
        <v>88</v>
      </c>
      <c r="AO68" s="424" t="s">
        <v>290</v>
      </c>
      <c r="AP68" s="361" t="s">
        <v>88</v>
      </c>
      <c r="AQ68" s="361" t="s">
        <v>336</v>
      </c>
      <c r="AR68" s="424" t="s">
        <v>293</v>
      </c>
      <c r="AS68" s="361" t="s">
        <v>88</v>
      </c>
      <c r="AT68" s="421" t="s">
        <v>91</v>
      </c>
      <c r="AU68" s="426" t="s">
        <v>26</v>
      </c>
      <c r="AV68" s="364" t="str">
        <f t="shared" si="1"/>
        <v>Config - 214, UHF x C Link, UHF LNA-R1, UHF DA-R2, Ch EPC - R, DP IP port - R2, Ch Card - R2, Router - R, CDU - R, Sy EPC - R, DP OP port - 2, Sy Card - R, UHF x C U/C - R1, UHF x C C SSPA - R1</v>
      </c>
      <c r="AW68" s="283"/>
      <c r="AX68" s="283"/>
      <c r="AY68" s="283"/>
      <c r="AZ68" s="283"/>
      <c r="BA68" s="283"/>
      <c r="BB68" s="283"/>
      <c r="BC68" s="283"/>
      <c r="BD68" s="283"/>
      <c r="BE68" s="283"/>
    </row>
  </sheetData>
  <autoFilter ref="A1:AU68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N25"/>
  <sheetViews>
    <sheetView zoomScale="85" zoomScaleNormal="85" workbookViewId="0">
      <pane ySplit="1" topLeftCell="A16" activePane="bottomLeft" state="frozen"/>
      <selection activeCell="P1" sqref="P1"/>
      <selection pane="bottomLeft" activeCell="AC1" sqref="AB1:AC1048576"/>
    </sheetView>
  </sheetViews>
  <sheetFormatPr defaultColWidth="9.140625" defaultRowHeight="15" x14ac:dyDescent="0.25"/>
  <cols>
    <col min="1" max="2" width="14.140625" style="201" customWidth="1"/>
    <col min="3" max="3" width="15" style="201" bestFit="1" customWidth="1"/>
    <col min="4" max="4" width="17.42578125" style="201" bestFit="1" customWidth="1"/>
    <col min="5" max="10" width="14.140625" style="201" customWidth="1"/>
    <col min="11" max="12" width="14.140625" style="344" customWidth="1"/>
    <col min="13" max="17" width="15.7109375" style="344" customWidth="1"/>
    <col min="18" max="19" width="14.140625" style="345" customWidth="1"/>
    <col min="20" max="20" width="20.5703125" style="345" customWidth="1"/>
    <col min="21" max="22" width="14.140625" style="345" customWidth="1"/>
    <col min="23" max="27" width="16.140625" style="344" customWidth="1"/>
    <col min="28" max="29" width="14.140625" style="344" customWidth="1"/>
    <col min="30" max="30" width="20" style="201" bestFit="1" customWidth="1"/>
    <col min="31" max="31" width="14.140625" style="344" customWidth="1"/>
    <col min="32" max="34" width="14.140625" style="201" customWidth="1"/>
    <col min="35" max="35" width="23.7109375" style="201" customWidth="1"/>
    <col min="36" max="39" width="14.140625" style="201" customWidth="1"/>
    <col min="40" max="40" width="166.28515625" style="109" customWidth="1"/>
    <col min="41" max="16384" width="9.140625" style="109"/>
  </cols>
  <sheetData>
    <row r="1" spans="1:40" s="114" customFormat="1" ht="93.75" x14ac:dyDescent="0.25">
      <c r="A1" s="307" t="s">
        <v>23</v>
      </c>
      <c r="B1" s="307" t="s">
        <v>31</v>
      </c>
      <c r="C1" s="307" t="s">
        <v>35</v>
      </c>
      <c r="D1" s="307" t="s">
        <v>36</v>
      </c>
      <c r="E1" s="307" t="s">
        <v>25</v>
      </c>
      <c r="F1" s="307" t="s">
        <v>254</v>
      </c>
      <c r="G1" s="307" t="s">
        <v>255</v>
      </c>
      <c r="H1" s="307" t="s">
        <v>140</v>
      </c>
      <c r="I1" s="307" t="s">
        <v>256</v>
      </c>
      <c r="J1" s="307" t="s">
        <v>257</v>
      </c>
      <c r="K1" s="303" t="s">
        <v>258</v>
      </c>
      <c r="L1" s="303" t="s">
        <v>259</v>
      </c>
      <c r="M1" s="303" t="s">
        <v>361</v>
      </c>
      <c r="N1" s="303" t="s">
        <v>362</v>
      </c>
      <c r="O1" s="303" t="s">
        <v>360</v>
      </c>
      <c r="P1" s="303" t="s">
        <v>363</v>
      </c>
      <c r="Q1" s="303" t="s">
        <v>364</v>
      </c>
      <c r="R1" s="317" t="s">
        <v>373</v>
      </c>
      <c r="S1" s="317" t="s">
        <v>371</v>
      </c>
      <c r="T1" s="317" t="s">
        <v>370</v>
      </c>
      <c r="U1" s="317" t="s">
        <v>374</v>
      </c>
      <c r="V1" s="317" t="s">
        <v>372</v>
      </c>
      <c r="W1" s="303" t="s">
        <v>365</v>
      </c>
      <c r="X1" s="303" t="s">
        <v>366</v>
      </c>
      <c r="Y1" s="303" t="s">
        <v>367</v>
      </c>
      <c r="Z1" s="303" t="s">
        <v>368</v>
      </c>
      <c r="AA1" s="303" t="s">
        <v>369</v>
      </c>
      <c r="AB1" s="303" t="s">
        <v>286</v>
      </c>
      <c r="AC1" s="303" t="s">
        <v>287</v>
      </c>
      <c r="AD1" s="307" t="s">
        <v>141</v>
      </c>
      <c r="AE1" s="303" t="s">
        <v>288</v>
      </c>
      <c r="AF1" s="307" t="s">
        <v>289</v>
      </c>
      <c r="AG1" s="307" t="s">
        <v>290</v>
      </c>
      <c r="AH1" s="307" t="s">
        <v>291</v>
      </c>
      <c r="AI1" s="307" t="s">
        <v>292</v>
      </c>
      <c r="AJ1" s="307" t="s">
        <v>293</v>
      </c>
      <c r="AK1" s="307" t="s">
        <v>294</v>
      </c>
      <c r="AL1" s="307" t="s">
        <v>41</v>
      </c>
      <c r="AM1" s="307" t="s">
        <v>90</v>
      </c>
      <c r="AN1" s="307" t="s">
        <v>524</v>
      </c>
    </row>
    <row r="2" spans="1:40" ht="56.25" x14ac:dyDescent="0.25">
      <c r="A2" s="292">
        <v>80</v>
      </c>
      <c r="B2" s="295">
        <v>80</v>
      </c>
      <c r="C2" s="341">
        <v>290.35703100000001</v>
      </c>
      <c r="D2" s="341">
        <v>4163.3570309999996</v>
      </c>
      <c r="E2" s="307" t="s">
        <v>253</v>
      </c>
      <c r="F2" s="307" t="s">
        <v>254</v>
      </c>
      <c r="G2" s="307" t="s">
        <v>83</v>
      </c>
      <c r="H2" s="307" t="s">
        <v>295</v>
      </c>
      <c r="I2" s="307" t="s">
        <v>256</v>
      </c>
      <c r="J2" s="307" t="s">
        <v>83</v>
      </c>
      <c r="K2" s="303" t="s">
        <v>258</v>
      </c>
      <c r="L2" s="307" t="s">
        <v>88</v>
      </c>
      <c r="M2" s="303" t="s">
        <v>375</v>
      </c>
      <c r="N2" s="303" t="s">
        <v>83</v>
      </c>
      <c r="O2" s="303" t="s">
        <v>376</v>
      </c>
      <c r="P2" s="303" t="s">
        <v>378</v>
      </c>
      <c r="Q2" s="303" t="s">
        <v>83</v>
      </c>
      <c r="R2" s="317" t="s">
        <v>373</v>
      </c>
      <c r="S2" s="317" t="s">
        <v>380</v>
      </c>
      <c r="T2" s="317" t="s">
        <v>379</v>
      </c>
      <c r="U2" s="317" t="s">
        <v>374</v>
      </c>
      <c r="V2" s="317" t="s">
        <v>83</v>
      </c>
      <c r="W2" s="303" t="s">
        <v>381</v>
      </c>
      <c r="X2" s="303" t="s">
        <v>83</v>
      </c>
      <c r="Y2" s="303" t="s">
        <v>377</v>
      </c>
      <c r="Z2" s="303" t="s">
        <v>382</v>
      </c>
      <c r="AA2" s="303" t="s">
        <v>83</v>
      </c>
      <c r="AB2" s="303" t="s">
        <v>286</v>
      </c>
      <c r="AC2" s="303" t="s">
        <v>88</v>
      </c>
      <c r="AD2" s="307" t="s">
        <v>314</v>
      </c>
      <c r="AE2" s="303" t="s">
        <v>288</v>
      </c>
      <c r="AF2" s="307" t="s">
        <v>83</v>
      </c>
      <c r="AG2" s="307" t="s">
        <v>290</v>
      </c>
      <c r="AH2" s="307" t="s">
        <v>83</v>
      </c>
      <c r="AI2" s="307" t="s">
        <v>315</v>
      </c>
      <c r="AJ2" s="307" t="s">
        <v>293</v>
      </c>
      <c r="AK2" s="307" t="s">
        <v>83</v>
      </c>
      <c r="AL2" s="307" t="s">
        <v>91</v>
      </c>
      <c r="AM2" s="307" t="s">
        <v>26</v>
      </c>
      <c r="AN2" s="307" t="str">
        <f>CONCATENATE("Config - ",A2,", UHFxC Link, ",H2,", IP DA: ",O2,", ",T2,", ","OP DA: ",Y2,", ",AD2,", ",AI2)</f>
        <v>Config - 80, UHFxC Link, UHF LNA-1, IP DA: UHF DA-7, UHF 4 CH SAW FILTER BANK-1, OP DA: UHF DA-8, UHF x C U/C - 1, UHF x C C SSPA - 1</v>
      </c>
    </row>
    <row r="3" spans="1:40" ht="56.25" x14ac:dyDescent="0.25">
      <c r="A3" s="292">
        <v>81</v>
      </c>
      <c r="B3" s="295">
        <v>81</v>
      </c>
      <c r="C3" s="341">
        <v>292.00234399999999</v>
      </c>
      <c r="D3" s="341">
        <v>4165.0023440000004</v>
      </c>
      <c r="E3" s="307" t="s">
        <v>253</v>
      </c>
      <c r="F3" s="307" t="s">
        <v>254</v>
      </c>
      <c r="G3" s="307" t="s">
        <v>83</v>
      </c>
      <c r="H3" s="307" t="s">
        <v>295</v>
      </c>
      <c r="I3" s="307" t="s">
        <v>256</v>
      </c>
      <c r="J3" s="307" t="s">
        <v>83</v>
      </c>
      <c r="K3" s="303" t="s">
        <v>258</v>
      </c>
      <c r="L3" s="307" t="s">
        <v>88</v>
      </c>
      <c r="M3" s="303" t="s">
        <v>375</v>
      </c>
      <c r="N3" s="303" t="s">
        <v>83</v>
      </c>
      <c r="O3" s="303" t="s">
        <v>376</v>
      </c>
      <c r="P3" s="303" t="s">
        <v>378</v>
      </c>
      <c r="Q3" s="303" t="s">
        <v>83</v>
      </c>
      <c r="R3" s="317" t="s">
        <v>373</v>
      </c>
      <c r="S3" s="317" t="s">
        <v>380</v>
      </c>
      <c r="T3" s="317" t="s">
        <v>379</v>
      </c>
      <c r="U3" s="317" t="s">
        <v>374</v>
      </c>
      <c r="V3" s="317" t="s">
        <v>83</v>
      </c>
      <c r="W3" s="303" t="s">
        <v>381</v>
      </c>
      <c r="X3" s="303" t="s">
        <v>83</v>
      </c>
      <c r="Y3" s="303" t="s">
        <v>377</v>
      </c>
      <c r="Z3" s="303" t="s">
        <v>382</v>
      </c>
      <c r="AA3" s="303" t="s">
        <v>83</v>
      </c>
      <c r="AB3" s="303" t="s">
        <v>286</v>
      </c>
      <c r="AC3" s="303" t="s">
        <v>88</v>
      </c>
      <c r="AD3" s="307" t="s">
        <v>314</v>
      </c>
      <c r="AE3" s="303" t="s">
        <v>288</v>
      </c>
      <c r="AF3" s="307" t="s">
        <v>83</v>
      </c>
      <c r="AG3" s="307" t="s">
        <v>290</v>
      </c>
      <c r="AH3" s="307" t="s">
        <v>83</v>
      </c>
      <c r="AI3" s="307" t="s">
        <v>315</v>
      </c>
      <c r="AJ3" s="307" t="s">
        <v>293</v>
      </c>
      <c r="AK3" s="307" t="s">
        <v>83</v>
      </c>
      <c r="AL3" s="307" t="s">
        <v>91</v>
      </c>
      <c r="AM3" s="307" t="s">
        <v>26</v>
      </c>
      <c r="AN3" s="307" t="str">
        <f t="shared" ref="AN3:AN25" si="0">CONCATENATE("Config - ",A3,", UHFxC Link, ",H3,", IP DA: ",O3,", ",T3,", ","OP DA: ",Y3,", ",AD3,", ",AI3)</f>
        <v>Config - 81, UHFxC Link, UHF LNA-1, IP DA: UHF DA-7, UHF 4 CH SAW FILTER BANK-1, OP DA: UHF DA-8, UHF x C U/C - 1, UHF x C C SSPA - 1</v>
      </c>
    </row>
    <row r="4" spans="1:40" ht="56.25" x14ac:dyDescent="0.25">
      <c r="A4" s="292">
        <v>82</v>
      </c>
      <c r="B4" s="295">
        <v>82</v>
      </c>
      <c r="C4" s="341">
        <v>296.83984400000003</v>
      </c>
      <c r="D4" s="341">
        <v>4169.8398440000001</v>
      </c>
      <c r="E4" s="307" t="s">
        <v>253</v>
      </c>
      <c r="F4" s="307" t="s">
        <v>254</v>
      </c>
      <c r="G4" s="307" t="s">
        <v>83</v>
      </c>
      <c r="H4" s="307" t="s">
        <v>295</v>
      </c>
      <c r="I4" s="307" t="s">
        <v>256</v>
      </c>
      <c r="J4" s="307" t="s">
        <v>83</v>
      </c>
      <c r="K4" s="303" t="s">
        <v>258</v>
      </c>
      <c r="L4" s="307" t="s">
        <v>88</v>
      </c>
      <c r="M4" s="303" t="s">
        <v>375</v>
      </c>
      <c r="N4" s="303" t="s">
        <v>83</v>
      </c>
      <c r="O4" s="303" t="s">
        <v>376</v>
      </c>
      <c r="P4" s="303" t="s">
        <v>378</v>
      </c>
      <c r="Q4" s="303" t="s">
        <v>83</v>
      </c>
      <c r="R4" s="317" t="s">
        <v>373</v>
      </c>
      <c r="S4" s="317" t="s">
        <v>380</v>
      </c>
      <c r="T4" s="317" t="s">
        <v>379</v>
      </c>
      <c r="U4" s="317" t="s">
        <v>374</v>
      </c>
      <c r="V4" s="317" t="s">
        <v>83</v>
      </c>
      <c r="W4" s="303" t="s">
        <v>381</v>
      </c>
      <c r="X4" s="303" t="s">
        <v>83</v>
      </c>
      <c r="Y4" s="303" t="s">
        <v>377</v>
      </c>
      <c r="Z4" s="303" t="s">
        <v>382</v>
      </c>
      <c r="AA4" s="303" t="s">
        <v>83</v>
      </c>
      <c r="AB4" s="303" t="s">
        <v>286</v>
      </c>
      <c r="AC4" s="303" t="s">
        <v>88</v>
      </c>
      <c r="AD4" s="307" t="s">
        <v>314</v>
      </c>
      <c r="AE4" s="303" t="s">
        <v>288</v>
      </c>
      <c r="AF4" s="307" t="s">
        <v>83</v>
      </c>
      <c r="AG4" s="307" t="s">
        <v>290</v>
      </c>
      <c r="AH4" s="307" t="s">
        <v>83</v>
      </c>
      <c r="AI4" s="307" t="s">
        <v>315</v>
      </c>
      <c r="AJ4" s="307" t="s">
        <v>293</v>
      </c>
      <c r="AK4" s="307" t="s">
        <v>83</v>
      </c>
      <c r="AL4" s="307" t="s">
        <v>91</v>
      </c>
      <c r="AM4" s="307" t="s">
        <v>26</v>
      </c>
      <c r="AN4" s="307" t="str">
        <f t="shared" si="0"/>
        <v>Config - 82, UHFxC Link, UHF LNA-1, IP DA: UHF DA-7, UHF 4 CH SAW FILTER BANK-1, OP DA: UHF DA-8, UHF x C U/C - 1, UHF x C C SSPA - 1</v>
      </c>
    </row>
    <row r="5" spans="1:40" ht="56.25" x14ac:dyDescent="0.25">
      <c r="A5" s="292">
        <v>83</v>
      </c>
      <c r="B5" s="295">
        <v>83</v>
      </c>
      <c r="C5" s="341">
        <v>306.13906200000002</v>
      </c>
      <c r="D5" s="341">
        <v>4179.1390629999996</v>
      </c>
      <c r="E5" s="307" t="s">
        <v>253</v>
      </c>
      <c r="F5" s="307" t="s">
        <v>254</v>
      </c>
      <c r="G5" s="307" t="s">
        <v>83</v>
      </c>
      <c r="H5" s="307" t="s">
        <v>295</v>
      </c>
      <c r="I5" s="307" t="s">
        <v>256</v>
      </c>
      <c r="J5" s="307" t="s">
        <v>83</v>
      </c>
      <c r="K5" s="303" t="s">
        <v>258</v>
      </c>
      <c r="L5" s="307" t="s">
        <v>88</v>
      </c>
      <c r="M5" s="303" t="s">
        <v>375</v>
      </c>
      <c r="N5" s="303" t="s">
        <v>83</v>
      </c>
      <c r="O5" s="303" t="s">
        <v>376</v>
      </c>
      <c r="P5" s="303" t="s">
        <v>378</v>
      </c>
      <c r="Q5" s="303" t="s">
        <v>83</v>
      </c>
      <c r="R5" s="317" t="s">
        <v>373</v>
      </c>
      <c r="S5" s="317" t="s">
        <v>380</v>
      </c>
      <c r="T5" s="317" t="s">
        <v>379</v>
      </c>
      <c r="U5" s="317" t="s">
        <v>374</v>
      </c>
      <c r="V5" s="317" t="s">
        <v>83</v>
      </c>
      <c r="W5" s="303" t="s">
        <v>381</v>
      </c>
      <c r="X5" s="303" t="s">
        <v>83</v>
      </c>
      <c r="Y5" s="303" t="s">
        <v>377</v>
      </c>
      <c r="Z5" s="303" t="s">
        <v>382</v>
      </c>
      <c r="AA5" s="303" t="s">
        <v>83</v>
      </c>
      <c r="AB5" s="303" t="s">
        <v>286</v>
      </c>
      <c r="AC5" s="303" t="s">
        <v>88</v>
      </c>
      <c r="AD5" s="307" t="s">
        <v>314</v>
      </c>
      <c r="AE5" s="303" t="s">
        <v>288</v>
      </c>
      <c r="AF5" s="307" t="s">
        <v>83</v>
      </c>
      <c r="AG5" s="307" t="s">
        <v>290</v>
      </c>
      <c r="AH5" s="307" t="s">
        <v>83</v>
      </c>
      <c r="AI5" s="307" t="s">
        <v>315</v>
      </c>
      <c r="AJ5" s="307" t="s">
        <v>293</v>
      </c>
      <c r="AK5" s="307" t="s">
        <v>83</v>
      </c>
      <c r="AL5" s="307" t="s">
        <v>91</v>
      </c>
      <c r="AM5" s="307" t="s">
        <v>26</v>
      </c>
      <c r="AN5" s="307" t="str">
        <f t="shared" si="0"/>
        <v>Config - 83, UHFxC Link, UHF LNA-1, IP DA: UHF DA-7, UHF 4 CH SAW FILTER BANK-1, OP DA: UHF DA-8, UHF x C U/C - 1, UHF x C C SSPA - 1</v>
      </c>
    </row>
    <row r="6" spans="1:40" ht="56.25" x14ac:dyDescent="0.25">
      <c r="A6" s="292">
        <v>84</v>
      </c>
      <c r="B6" s="300">
        <v>84</v>
      </c>
      <c r="C6" s="342">
        <v>293.25156299999998</v>
      </c>
      <c r="D6" s="342">
        <v>4166.2515629999998</v>
      </c>
      <c r="E6" s="307" t="s">
        <v>253</v>
      </c>
      <c r="F6" s="307" t="s">
        <v>254</v>
      </c>
      <c r="G6" s="307" t="s">
        <v>83</v>
      </c>
      <c r="H6" s="307" t="s">
        <v>295</v>
      </c>
      <c r="I6" s="307" t="s">
        <v>256</v>
      </c>
      <c r="J6" s="307" t="s">
        <v>83</v>
      </c>
      <c r="K6" s="303" t="s">
        <v>258</v>
      </c>
      <c r="L6" s="307" t="s">
        <v>88</v>
      </c>
      <c r="M6" s="303" t="s">
        <v>375</v>
      </c>
      <c r="N6" s="303" t="s">
        <v>83</v>
      </c>
      <c r="O6" s="303" t="s">
        <v>376</v>
      </c>
      <c r="P6" s="303" t="s">
        <v>378</v>
      </c>
      <c r="Q6" s="303" t="s">
        <v>83</v>
      </c>
      <c r="R6" s="317" t="s">
        <v>373</v>
      </c>
      <c r="S6" s="317" t="s">
        <v>88</v>
      </c>
      <c r="T6" s="317" t="s">
        <v>383</v>
      </c>
      <c r="U6" s="317" t="s">
        <v>374</v>
      </c>
      <c r="V6" s="317" t="s">
        <v>88</v>
      </c>
      <c r="W6" s="303" t="s">
        <v>381</v>
      </c>
      <c r="X6" s="303" t="s">
        <v>83</v>
      </c>
      <c r="Y6" s="303" t="s">
        <v>377</v>
      </c>
      <c r="Z6" s="303" t="s">
        <v>382</v>
      </c>
      <c r="AA6" s="303" t="s">
        <v>83</v>
      </c>
      <c r="AB6" s="303" t="s">
        <v>286</v>
      </c>
      <c r="AC6" s="303" t="s">
        <v>88</v>
      </c>
      <c r="AD6" s="307" t="s">
        <v>314</v>
      </c>
      <c r="AE6" s="303" t="s">
        <v>288</v>
      </c>
      <c r="AF6" s="307" t="s">
        <v>83</v>
      </c>
      <c r="AG6" s="307" t="s">
        <v>290</v>
      </c>
      <c r="AH6" s="307" t="s">
        <v>83</v>
      </c>
      <c r="AI6" s="307" t="s">
        <v>315</v>
      </c>
      <c r="AJ6" s="307" t="s">
        <v>293</v>
      </c>
      <c r="AK6" s="307" t="s">
        <v>83</v>
      </c>
      <c r="AL6" s="307" t="s">
        <v>91</v>
      </c>
      <c r="AM6" s="307" t="s">
        <v>26</v>
      </c>
      <c r="AN6" s="307" t="str">
        <f t="shared" si="0"/>
        <v>Config - 84, UHFxC Link, UHF LNA-1, IP DA: UHF DA-7, UHF 4 CH SAW FILTER BANK-2, OP DA: UHF DA-8, UHF x C U/C - 1, UHF x C C SSPA - 1</v>
      </c>
    </row>
    <row r="7" spans="1:40" ht="56.25" x14ac:dyDescent="0.25">
      <c r="A7" s="292">
        <v>85</v>
      </c>
      <c r="B7" s="300">
        <v>85</v>
      </c>
      <c r="C7" s="342">
        <v>294.90703100000002</v>
      </c>
      <c r="D7" s="342">
        <v>4167.9070309999997</v>
      </c>
      <c r="E7" s="307" t="s">
        <v>253</v>
      </c>
      <c r="F7" s="307" t="s">
        <v>254</v>
      </c>
      <c r="G7" s="307" t="s">
        <v>83</v>
      </c>
      <c r="H7" s="307" t="s">
        <v>295</v>
      </c>
      <c r="I7" s="307" t="s">
        <v>256</v>
      </c>
      <c r="J7" s="307" t="s">
        <v>83</v>
      </c>
      <c r="K7" s="303" t="s">
        <v>258</v>
      </c>
      <c r="L7" s="307" t="s">
        <v>88</v>
      </c>
      <c r="M7" s="303" t="s">
        <v>375</v>
      </c>
      <c r="N7" s="303" t="s">
        <v>83</v>
      </c>
      <c r="O7" s="303" t="s">
        <v>376</v>
      </c>
      <c r="P7" s="303" t="s">
        <v>378</v>
      </c>
      <c r="Q7" s="303" t="s">
        <v>83</v>
      </c>
      <c r="R7" s="317" t="s">
        <v>373</v>
      </c>
      <c r="S7" s="317" t="s">
        <v>88</v>
      </c>
      <c r="T7" s="317" t="s">
        <v>383</v>
      </c>
      <c r="U7" s="317" t="s">
        <v>374</v>
      </c>
      <c r="V7" s="317" t="s">
        <v>88</v>
      </c>
      <c r="W7" s="303" t="s">
        <v>381</v>
      </c>
      <c r="X7" s="303" t="s">
        <v>83</v>
      </c>
      <c r="Y7" s="303" t="s">
        <v>377</v>
      </c>
      <c r="Z7" s="303" t="s">
        <v>382</v>
      </c>
      <c r="AA7" s="303" t="s">
        <v>83</v>
      </c>
      <c r="AB7" s="303" t="s">
        <v>286</v>
      </c>
      <c r="AC7" s="303" t="s">
        <v>88</v>
      </c>
      <c r="AD7" s="307" t="s">
        <v>314</v>
      </c>
      <c r="AE7" s="303" t="s">
        <v>288</v>
      </c>
      <c r="AF7" s="307" t="s">
        <v>83</v>
      </c>
      <c r="AG7" s="307" t="s">
        <v>290</v>
      </c>
      <c r="AH7" s="307" t="s">
        <v>83</v>
      </c>
      <c r="AI7" s="307" t="s">
        <v>315</v>
      </c>
      <c r="AJ7" s="307" t="s">
        <v>293</v>
      </c>
      <c r="AK7" s="307" t="s">
        <v>83</v>
      </c>
      <c r="AL7" s="307" t="s">
        <v>91</v>
      </c>
      <c r="AM7" s="307" t="s">
        <v>26</v>
      </c>
      <c r="AN7" s="307" t="str">
        <f t="shared" si="0"/>
        <v>Config - 85, UHFxC Link, UHF LNA-1, IP DA: UHF DA-7, UHF 4 CH SAW FILTER BANK-2, OP DA: UHF DA-8, UHF x C U/C - 1, UHF x C C SSPA - 1</v>
      </c>
    </row>
    <row r="8" spans="1:40" ht="56.25" x14ac:dyDescent="0.25">
      <c r="A8" s="292">
        <v>86</v>
      </c>
      <c r="B8" s="300">
        <v>86</v>
      </c>
      <c r="C8" s="342">
        <v>299.74453099999999</v>
      </c>
      <c r="D8" s="342">
        <v>4172.7445310000003</v>
      </c>
      <c r="E8" s="307" t="s">
        <v>253</v>
      </c>
      <c r="F8" s="307" t="s">
        <v>254</v>
      </c>
      <c r="G8" s="307" t="s">
        <v>83</v>
      </c>
      <c r="H8" s="307" t="s">
        <v>295</v>
      </c>
      <c r="I8" s="307" t="s">
        <v>256</v>
      </c>
      <c r="J8" s="307" t="s">
        <v>83</v>
      </c>
      <c r="K8" s="303" t="s">
        <v>258</v>
      </c>
      <c r="L8" s="307" t="s">
        <v>88</v>
      </c>
      <c r="M8" s="303" t="s">
        <v>375</v>
      </c>
      <c r="N8" s="303" t="s">
        <v>83</v>
      </c>
      <c r="O8" s="303" t="s">
        <v>376</v>
      </c>
      <c r="P8" s="303" t="s">
        <v>378</v>
      </c>
      <c r="Q8" s="303" t="s">
        <v>83</v>
      </c>
      <c r="R8" s="317" t="s">
        <v>373</v>
      </c>
      <c r="S8" s="317" t="s">
        <v>88</v>
      </c>
      <c r="T8" s="317" t="s">
        <v>383</v>
      </c>
      <c r="U8" s="317" t="s">
        <v>374</v>
      </c>
      <c r="V8" s="317" t="s">
        <v>88</v>
      </c>
      <c r="W8" s="303" t="s">
        <v>381</v>
      </c>
      <c r="X8" s="303" t="s">
        <v>83</v>
      </c>
      <c r="Y8" s="303" t="s">
        <v>377</v>
      </c>
      <c r="Z8" s="303" t="s">
        <v>382</v>
      </c>
      <c r="AA8" s="303" t="s">
        <v>83</v>
      </c>
      <c r="AB8" s="303" t="s">
        <v>286</v>
      </c>
      <c r="AC8" s="303" t="s">
        <v>88</v>
      </c>
      <c r="AD8" s="307" t="s">
        <v>314</v>
      </c>
      <c r="AE8" s="303" t="s">
        <v>288</v>
      </c>
      <c r="AF8" s="307" t="s">
        <v>83</v>
      </c>
      <c r="AG8" s="307" t="s">
        <v>290</v>
      </c>
      <c r="AH8" s="307" t="s">
        <v>83</v>
      </c>
      <c r="AI8" s="307" t="s">
        <v>315</v>
      </c>
      <c r="AJ8" s="307" t="s">
        <v>293</v>
      </c>
      <c r="AK8" s="307" t="s">
        <v>83</v>
      </c>
      <c r="AL8" s="307" t="s">
        <v>91</v>
      </c>
      <c r="AM8" s="307" t="s">
        <v>26</v>
      </c>
      <c r="AN8" s="307" t="str">
        <f t="shared" si="0"/>
        <v>Config - 86, UHFxC Link, UHF LNA-1, IP DA: UHF DA-7, UHF 4 CH SAW FILTER BANK-2, OP DA: UHF DA-8, UHF x C U/C - 1, UHF x C C SSPA - 1</v>
      </c>
    </row>
    <row r="9" spans="1:40" ht="56.25" x14ac:dyDescent="0.25">
      <c r="A9" s="292">
        <v>87</v>
      </c>
      <c r="B9" s="300">
        <v>87</v>
      </c>
      <c r="C9" s="342">
        <v>309.04374999999999</v>
      </c>
      <c r="D9" s="342">
        <v>4182.0437499999998</v>
      </c>
      <c r="E9" s="307" t="s">
        <v>253</v>
      </c>
      <c r="F9" s="307" t="s">
        <v>254</v>
      </c>
      <c r="G9" s="307" t="s">
        <v>83</v>
      </c>
      <c r="H9" s="307" t="s">
        <v>295</v>
      </c>
      <c r="I9" s="307" t="s">
        <v>256</v>
      </c>
      <c r="J9" s="307" t="s">
        <v>83</v>
      </c>
      <c r="K9" s="303" t="s">
        <v>258</v>
      </c>
      <c r="L9" s="307" t="s">
        <v>88</v>
      </c>
      <c r="M9" s="303" t="s">
        <v>375</v>
      </c>
      <c r="N9" s="303" t="s">
        <v>83</v>
      </c>
      <c r="O9" s="303" t="s">
        <v>376</v>
      </c>
      <c r="P9" s="303" t="s">
        <v>378</v>
      </c>
      <c r="Q9" s="303" t="s">
        <v>83</v>
      </c>
      <c r="R9" s="317" t="s">
        <v>373</v>
      </c>
      <c r="S9" s="317" t="s">
        <v>88</v>
      </c>
      <c r="T9" s="317" t="s">
        <v>383</v>
      </c>
      <c r="U9" s="317" t="s">
        <v>374</v>
      </c>
      <c r="V9" s="317" t="s">
        <v>88</v>
      </c>
      <c r="W9" s="303" t="s">
        <v>381</v>
      </c>
      <c r="X9" s="303" t="s">
        <v>83</v>
      </c>
      <c r="Y9" s="303" t="s">
        <v>377</v>
      </c>
      <c r="Z9" s="303" t="s">
        <v>382</v>
      </c>
      <c r="AA9" s="303" t="s">
        <v>83</v>
      </c>
      <c r="AB9" s="303" t="s">
        <v>286</v>
      </c>
      <c r="AC9" s="303" t="s">
        <v>88</v>
      </c>
      <c r="AD9" s="307" t="s">
        <v>314</v>
      </c>
      <c r="AE9" s="303" t="s">
        <v>288</v>
      </c>
      <c r="AF9" s="307" t="s">
        <v>83</v>
      </c>
      <c r="AG9" s="307" t="s">
        <v>290</v>
      </c>
      <c r="AH9" s="307" t="s">
        <v>83</v>
      </c>
      <c r="AI9" s="307" t="s">
        <v>315</v>
      </c>
      <c r="AJ9" s="307" t="s">
        <v>293</v>
      </c>
      <c r="AK9" s="307" t="s">
        <v>83</v>
      </c>
      <c r="AL9" s="307" t="s">
        <v>91</v>
      </c>
      <c r="AM9" s="307" t="s">
        <v>26</v>
      </c>
      <c r="AN9" s="307" t="str">
        <f t="shared" si="0"/>
        <v>Config - 87, UHFxC Link, UHF LNA-1, IP DA: UHF DA-7, UHF 4 CH SAW FILTER BANK-2, OP DA: UHF DA-8, UHF x C U/C - 1, UHF x C C SSPA - 1</v>
      </c>
    </row>
    <row r="10" spans="1:40" ht="56.25" x14ac:dyDescent="0.25">
      <c r="A10" s="292">
        <v>88</v>
      </c>
      <c r="B10" s="317">
        <v>88</v>
      </c>
      <c r="C10" s="343">
        <v>301.25078100000002</v>
      </c>
      <c r="D10" s="343">
        <v>4174.2507809999997</v>
      </c>
      <c r="E10" s="307" t="s">
        <v>253</v>
      </c>
      <c r="F10" s="307" t="s">
        <v>254</v>
      </c>
      <c r="G10" s="307" t="s">
        <v>83</v>
      </c>
      <c r="H10" s="307" t="s">
        <v>295</v>
      </c>
      <c r="I10" s="307" t="s">
        <v>256</v>
      </c>
      <c r="J10" s="307" t="s">
        <v>83</v>
      </c>
      <c r="K10" s="303" t="s">
        <v>258</v>
      </c>
      <c r="L10" s="307" t="s">
        <v>88</v>
      </c>
      <c r="M10" s="303" t="s">
        <v>375</v>
      </c>
      <c r="N10" s="303" t="s">
        <v>83</v>
      </c>
      <c r="O10" s="303" t="s">
        <v>376</v>
      </c>
      <c r="P10" s="303" t="s">
        <v>378</v>
      </c>
      <c r="Q10" s="303" t="s">
        <v>83</v>
      </c>
      <c r="R10" s="317" t="s">
        <v>373</v>
      </c>
      <c r="S10" s="317" t="s">
        <v>83</v>
      </c>
      <c r="T10" s="317" t="s">
        <v>384</v>
      </c>
      <c r="U10" s="317" t="s">
        <v>374</v>
      </c>
      <c r="V10" s="317" t="s">
        <v>380</v>
      </c>
      <c r="W10" s="303" t="s">
        <v>381</v>
      </c>
      <c r="X10" s="303" t="s">
        <v>83</v>
      </c>
      <c r="Y10" s="303" t="s">
        <v>377</v>
      </c>
      <c r="Z10" s="303" t="s">
        <v>382</v>
      </c>
      <c r="AA10" s="303" t="s">
        <v>83</v>
      </c>
      <c r="AB10" s="303" t="s">
        <v>286</v>
      </c>
      <c r="AC10" s="303" t="s">
        <v>88</v>
      </c>
      <c r="AD10" s="307" t="s">
        <v>314</v>
      </c>
      <c r="AE10" s="303" t="s">
        <v>288</v>
      </c>
      <c r="AF10" s="307" t="s">
        <v>83</v>
      </c>
      <c r="AG10" s="307" t="s">
        <v>290</v>
      </c>
      <c r="AH10" s="307" t="s">
        <v>83</v>
      </c>
      <c r="AI10" s="307" t="s">
        <v>315</v>
      </c>
      <c r="AJ10" s="307" t="s">
        <v>293</v>
      </c>
      <c r="AK10" s="307" t="s">
        <v>83</v>
      </c>
      <c r="AL10" s="307" t="s">
        <v>91</v>
      </c>
      <c r="AM10" s="307" t="s">
        <v>26</v>
      </c>
      <c r="AN10" s="307" t="str">
        <f t="shared" si="0"/>
        <v>Config - 88, UHFxC Link, UHF LNA-1, IP DA: UHF DA-7, UHF 4 CH SAW FILTER BANK-3, OP DA: UHF DA-8, UHF x C U/C - 1, UHF x C C SSPA - 1</v>
      </c>
    </row>
    <row r="11" spans="1:40" ht="56.25" x14ac:dyDescent="0.25">
      <c r="A11" s="292">
        <v>89</v>
      </c>
      <c r="B11" s="317">
        <v>89</v>
      </c>
      <c r="C11" s="343">
        <v>302.91640599999999</v>
      </c>
      <c r="D11" s="343">
        <v>4175.9164060000003</v>
      </c>
      <c r="E11" s="307" t="s">
        <v>253</v>
      </c>
      <c r="F11" s="307" t="s">
        <v>254</v>
      </c>
      <c r="G11" s="307" t="s">
        <v>83</v>
      </c>
      <c r="H11" s="307" t="s">
        <v>295</v>
      </c>
      <c r="I11" s="307" t="s">
        <v>256</v>
      </c>
      <c r="J11" s="307" t="s">
        <v>83</v>
      </c>
      <c r="K11" s="303" t="s">
        <v>258</v>
      </c>
      <c r="L11" s="307" t="s">
        <v>88</v>
      </c>
      <c r="M11" s="303" t="s">
        <v>375</v>
      </c>
      <c r="N11" s="303" t="s">
        <v>83</v>
      </c>
      <c r="O11" s="303" t="s">
        <v>376</v>
      </c>
      <c r="P11" s="303" t="s">
        <v>378</v>
      </c>
      <c r="Q11" s="303" t="s">
        <v>83</v>
      </c>
      <c r="R11" s="317" t="s">
        <v>373</v>
      </c>
      <c r="S11" s="317" t="s">
        <v>83</v>
      </c>
      <c r="T11" s="317" t="s">
        <v>384</v>
      </c>
      <c r="U11" s="317" t="s">
        <v>374</v>
      </c>
      <c r="V11" s="317" t="s">
        <v>380</v>
      </c>
      <c r="W11" s="303" t="s">
        <v>381</v>
      </c>
      <c r="X11" s="303" t="s">
        <v>83</v>
      </c>
      <c r="Y11" s="303" t="s">
        <v>377</v>
      </c>
      <c r="Z11" s="303" t="s">
        <v>382</v>
      </c>
      <c r="AA11" s="303" t="s">
        <v>83</v>
      </c>
      <c r="AB11" s="303" t="s">
        <v>286</v>
      </c>
      <c r="AC11" s="303" t="s">
        <v>88</v>
      </c>
      <c r="AD11" s="307" t="s">
        <v>314</v>
      </c>
      <c r="AE11" s="303" t="s">
        <v>288</v>
      </c>
      <c r="AF11" s="307" t="s">
        <v>83</v>
      </c>
      <c r="AG11" s="307" t="s">
        <v>290</v>
      </c>
      <c r="AH11" s="307" t="s">
        <v>83</v>
      </c>
      <c r="AI11" s="307" t="s">
        <v>315</v>
      </c>
      <c r="AJ11" s="307" t="s">
        <v>293</v>
      </c>
      <c r="AK11" s="307" t="s">
        <v>83</v>
      </c>
      <c r="AL11" s="307" t="s">
        <v>91</v>
      </c>
      <c r="AM11" s="307" t="s">
        <v>26</v>
      </c>
      <c r="AN11" s="307" t="str">
        <f t="shared" si="0"/>
        <v>Config - 89, UHFxC Link, UHF LNA-1, IP DA: UHF DA-7, UHF 4 CH SAW FILTER BANK-3, OP DA: UHF DA-8, UHF x C U/C - 1, UHF x C C SSPA - 1</v>
      </c>
    </row>
    <row r="12" spans="1:40" ht="56.25" x14ac:dyDescent="0.25">
      <c r="A12" s="292">
        <v>90</v>
      </c>
      <c r="B12" s="317">
        <v>90</v>
      </c>
      <c r="C12" s="343">
        <v>307.75390599999997</v>
      </c>
      <c r="D12" s="343">
        <v>4180.7539059999999</v>
      </c>
      <c r="E12" s="307" t="s">
        <v>253</v>
      </c>
      <c r="F12" s="307" t="s">
        <v>254</v>
      </c>
      <c r="G12" s="307" t="s">
        <v>83</v>
      </c>
      <c r="H12" s="307" t="s">
        <v>295</v>
      </c>
      <c r="I12" s="307" t="s">
        <v>256</v>
      </c>
      <c r="J12" s="307" t="s">
        <v>83</v>
      </c>
      <c r="K12" s="303" t="s">
        <v>258</v>
      </c>
      <c r="L12" s="307" t="s">
        <v>88</v>
      </c>
      <c r="M12" s="303" t="s">
        <v>375</v>
      </c>
      <c r="N12" s="303" t="s">
        <v>83</v>
      </c>
      <c r="O12" s="303" t="s">
        <v>376</v>
      </c>
      <c r="P12" s="303" t="s">
        <v>378</v>
      </c>
      <c r="Q12" s="303" t="s">
        <v>83</v>
      </c>
      <c r="R12" s="317" t="s">
        <v>373</v>
      </c>
      <c r="S12" s="317" t="s">
        <v>83</v>
      </c>
      <c r="T12" s="317" t="s">
        <v>384</v>
      </c>
      <c r="U12" s="317" t="s">
        <v>374</v>
      </c>
      <c r="V12" s="317" t="s">
        <v>380</v>
      </c>
      <c r="W12" s="303" t="s">
        <v>381</v>
      </c>
      <c r="X12" s="303" t="s">
        <v>83</v>
      </c>
      <c r="Y12" s="303" t="s">
        <v>377</v>
      </c>
      <c r="Z12" s="303" t="s">
        <v>382</v>
      </c>
      <c r="AA12" s="303" t="s">
        <v>83</v>
      </c>
      <c r="AB12" s="303" t="s">
        <v>286</v>
      </c>
      <c r="AC12" s="303" t="s">
        <v>88</v>
      </c>
      <c r="AD12" s="307" t="s">
        <v>314</v>
      </c>
      <c r="AE12" s="303" t="s">
        <v>288</v>
      </c>
      <c r="AF12" s="307" t="s">
        <v>83</v>
      </c>
      <c r="AG12" s="307" t="s">
        <v>290</v>
      </c>
      <c r="AH12" s="307" t="s">
        <v>83</v>
      </c>
      <c r="AI12" s="307" t="s">
        <v>315</v>
      </c>
      <c r="AJ12" s="307" t="s">
        <v>293</v>
      </c>
      <c r="AK12" s="307" t="s">
        <v>83</v>
      </c>
      <c r="AL12" s="307" t="s">
        <v>91</v>
      </c>
      <c r="AM12" s="307" t="s">
        <v>26</v>
      </c>
      <c r="AN12" s="307" t="str">
        <f t="shared" si="0"/>
        <v>Config - 90, UHFxC Link, UHF LNA-1, IP DA: UHF DA-7, UHF 4 CH SAW FILTER BANK-3, OP DA: UHF DA-8, UHF x C U/C - 1, UHF x C C SSPA - 1</v>
      </c>
    </row>
    <row r="13" spans="1:40" ht="56.25" x14ac:dyDescent="0.25">
      <c r="A13" s="292">
        <v>91</v>
      </c>
      <c r="B13" s="317">
        <v>91</v>
      </c>
      <c r="C13" s="343">
        <v>308.06875000000002</v>
      </c>
      <c r="D13" s="343">
        <v>4181.0687500000004</v>
      </c>
      <c r="E13" s="307" t="s">
        <v>253</v>
      </c>
      <c r="F13" s="307" t="s">
        <v>254</v>
      </c>
      <c r="G13" s="307" t="s">
        <v>83</v>
      </c>
      <c r="H13" s="307" t="s">
        <v>295</v>
      </c>
      <c r="I13" s="307" t="s">
        <v>256</v>
      </c>
      <c r="J13" s="307" t="s">
        <v>83</v>
      </c>
      <c r="K13" s="303" t="s">
        <v>258</v>
      </c>
      <c r="L13" s="307" t="s">
        <v>88</v>
      </c>
      <c r="M13" s="303" t="s">
        <v>375</v>
      </c>
      <c r="N13" s="303" t="s">
        <v>83</v>
      </c>
      <c r="O13" s="303" t="s">
        <v>376</v>
      </c>
      <c r="P13" s="303" t="s">
        <v>378</v>
      </c>
      <c r="Q13" s="303" t="s">
        <v>83</v>
      </c>
      <c r="R13" s="317" t="s">
        <v>373</v>
      </c>
      <c r="S13" s="317" t="s">
        <v>83</v>
      </c>
      <c r="T13" s="317" t="s">
        <v>384</v>
      </c>
      <c r="U13" s="317" t="s">
        <v>374</v>
      </c>
      <c r="V13" s="317" t="s">
        <v>380</v>
      </c>
      <c r="W13" s="303" t="s">
        <v>381</v>
      </c>
      <c r="X13" s="303" t="s">
        <v>83</v>
      </c>
      <c r="Y13" s="303" t="s">
        <v>377</v>
      </c>
      <c r="Z13" s="303" t="s">
        <v>382</v>
      </c>
      <c r="AA13" s="303" t="s">
        <v>83</v>
      </c>
      <c r="AB13" s="303" t="s">
        <v>286</v>
      </c>
      <c r="AC13" s="303" t="s">
        <v>88</v>
      </c>
      <c r="AD13" s="307" t="s">
        <v>314</v>
      </c>
      <c r="AE13" s="303" t="s">
        <v>288</v>
      </c>
      <c r="AF13" s="307" t="s">
        <v>83</v>
      </c>
      <c r="AG13" s="307" t="s">
        <v>290</v>
      </c>
      <c r="AH13" s="307" t="s">
        <v>83</v>
      </c>
      <c r="AI13" s="307" t="s">
        <v>315</v>
      </c>
      <c r="AJ13" s="307" t="s">
        <v>293</v>
      </c>
      <c r="AK13" s="307" t="s">
        <v>83</v>
      </c>
      <c r="AL13" s="307" t="s">
        <v>91</v>
      </c>
      <c r="AM13" s="307" t="s">
        <v>26</v>
      </c>
      <c r="AN13" s="307" t="str">
        <f t="shared" si="0"/>
        <v>Config - 91, UHFxC Link, UHF LNA-1, IP DA: UHF DA-7, UHF 4 CH SAW FILTER BANK-3, OP DA: UHF DA-8, UHF x C U/C - 1, UHF x C C SSPA - 1</v>
      </c>
    </row>
    <row r="14" spans="1:40" ht="56.25" x14ac:dyDescent="0.25">
      <c r="A14" s="295">
        <v>156</v>
      </c>
      <c r="B14" s="295">
        <v>80</v>
      </c>
      <c r="C14" s="341">
        <v>290.35703100000001</v>
      </c>
      <c r="D14" s="341">
        <v>4163.3570309999996</v>
      </c>
      <c r="E14" s="307" t="s">
        <v>253</v>
      </c>
      <c r="F14" s="307" t="s">
        <v>254</v>
      </c>
      <c r="G14" s="307" t="s">
        <v>88</v>
      </c>
      <c r="H14" s="307" t="s">
        <v>333</v>
      </c>
      <c r="I14" s="307" t="s">
        <v>256</v>
      </c>
      <c r="J14" s="307" t="s">
        <v>88</v>
      </c>
      <c r="K14" s="303" t="s">
        <v>258</v>
      </c>
      <c r="L14" s="307" t="s">
        <v>88</v>
      </c>
      <c r="M14" s="303" t="s">
        <v>375</v>
      </c>
      <c r="N14" s="303" t="s">
        <v>88</v>
      </c>
      <c r="O14" s="303" t="s">
        <v>388</v>
      </c>
      <c r="P14" s="303" t="s">
        <v>378</v>
      </c>
      <c r="Q14" s="303" t="s">
        <v>88</v>
      </c>
      <c r="R14" s="317" t="s">
        <v>373</v>
      </c>
      <c r="S14" s="317" t="s">
        <v>380</v>
      </c>
      <c r="T14" s="317" t="s">
        <v>379</v>
      </c>
      <c r="U14" s="317" t="s">
        <v>374</v>
      </c>
      <c r="V14" s="317" t="s">
        <v>83</v>
      </c>
      <c r="W14" s="303" t="s">
        <v>381</v>
      </c>
      <c r="X14" s="303" t="s">
        <v>88</v>
      </c>
      <c r="Y14" s="303" t="s">
        <v>389</v>
      </c>
      <c r="Z14" s="303" t="s">
        <v>382</v>
      </c>
      <c r="AA14" s="303" t="s">
        <v>88</v>
      </c>
      <c r="AB14" s="303" t="s">
        <v>286</v>
      </c>
      <c r="AC14" s="303" t="s">
        <v>83</v>
      </c>
      <c r="AD14" s="307" t="s">
        <v>335</v>
      </c>
      <c r="AE14" s="303" t="s">
        <v>288</v>
      </c>
      <c r="AF14" s="307" t="s">
        <v>88</v>
      </c>
      <c r="AG14" s="307" t="s">
        <v>290</v>
      </c>
      <c r="AH14" s="307" t="s">
        <v>88</v>
      </c>
      <c r="AI14" s="307" t="s">
        <v>336</v>
      </c>
      <c r="AJ14" s="307" t="s">
        <v>293</v>
      </c>
      <c r="AK14" s="307" t="s">
        <v>88</v>
      </c>
      <c r="AL14" s="307" t="s">
        <v>91</v>
      </c>
      <c r="AM14" s="307" t="s">
        <v>26</v>
      </c>
      <c r="AN14" s="307" t="str">
        <f t="shared" si="0"/>
        <v>Config - 156, UHFxC Link, UHF LNA-R1, IP DA: UHF DA-R3, UHF 4 CH SAW FILTER BANK-1, OP DA: UHF DA-R4, UHF x C U/C - R1, UHF x C C SSPA - R1</v>
      </c>
    </row>
    <row r="15" spans="1:40" ht="56.25" x14ac:dyDescent="0.25">
      <c r="A15" s="295">
        <v>157</v>
      </c>
      <c r="B15" s="295">
        <v>81</v>
      </c>
      <c r="C15" s="341">
        <v>292.00234399999999</v>
      </c>
      <c r="D15" s="341">
        <v>4165.0023440000004</v>
      </c>
      <c r="E15" s="307" t="s">
        <v>253</v>
      </c>
      <c r="F15" s="307" t="s">
        <v>254</v>
      </c>
      <c r="G15" s="307" t="s">
        <v>88</v>
      </c>
      <c r="H15" s="307" t="s">
        <v>333</v>
      </c>
      <c r="I15" s="307" t="s">
        <v>256</v>
      </c>
      <c r="J15" s="307" t="s">
        <v>88</v>
      </c>
      <c r="K15" s="303" t="s">
        <v>258</v>
      </c>
      <c r="L15" s="307" t="s">
        <v>88</v>
      </c>
      <c r="M15" s="303" t="s">
        <v>375</v>
      </c>
      <c r="N15" s="303" t="s">
        <v>88</v>
      </c>
      <c r="O15" s="303" t="s">
        <v>388</v>
      </c>
      <c r="P15" s="303" t="s">
        <v>378</v>
      </c>
      <c r="Q15" s="303" t="s">
        <v>88</v>
      </c>
      <c r="R15" s="317" t="s">
        <v>373</v>
      </c>
      <c r="S15" s="317" t="s">
        <v>380</v>
      </c>
      <c r="T15" s="317" t="s">
        <v>379</v>
      </c>
      <c r="U15" s="317" t="s">
        <v>374</v>
      </c>
      <c r="V15" s="317" t="s">
        <v>83</v>
      </c>
      <c r="W15" s="303" t="s">
        <v>381</v>
      </c>
      <c r="X15" s="303" t="s">
        <v>88</v>
      </c>
      <c r="Y15" s="303" t="s">
        <v>389</v>
      </c>
      <c r="Z15" s="303" t="s">
        <v>382</v>
      </c>
      <c r="AA15" s="303" t="s">
        <v>88</v>
      </c>
      <c r="AB15" s="303" t="s">
        <v>286</v>
      </c>
      <c r="AC15" s="303" t="s">
        <v>83</v>
      </c>
      <c r="AD15" s="307" t="s">
        <v>335</v>
      </c>
      <c r="AE15" s="303" t="s">
        <v>288</v>
      </c>
      <c r="AF15" s="307" t="s">
        <v>88</v>
      </c>
      <c r="AG15" s="307" t="s">
        <v>290</v>
      </c>
      <c r="AH15" s="307" t="s">
        <v>88</v>
      </c>
      <c r="AI15" s="307" t="s">
        <v>336</v>
      </c>
      <c r="AJ15" s="307" t="s">
        <v>293</v>
      </c>
      <c r="AK15" s="307" t="s">
        <v>88</v>
      </c>
      <c r="AL15" s="307" t="s">
        <v>91</v>
      </c>
      <c r="AM15" s="307" t="s">
        <v>26</v>
      </c>
      <c r="AN15" s="307" t="str">
        <f t="shared" si="0"/>
        <v>Config - 157, UHFxC Link, UHF LNA-R1, IP DA: UHF DA-R3, UHF 4 CH SAW FILTER BANK-1, OP DA: UHF DA-R4, UHF x C U/C - R1, UHF x C C SSPA - R1</v>
      </c>
    </row>
    <row r="16" spans="1:40" ht="56.25" x14ac:dyDescent="0.25">
      <c r="A16" s="295">
        <v>158</v>
      </c>
      <c r="B16" s="295">
        <v>82</v>
      </c>
      <c r="C16" s="341">
        <v>296.83984400000003</v>
      </c>
      <c r="D16" s="341">
        <v>4169.8398440000001</v>
      </c>
      <c r="E16" s="307" t="s">
        <v>253</v>
      </c>
      <c r="F16" s="307" t="s">
        <v>254</v>
      </c>
      <c r="G16" s="307" t="s">
        <v>88</v>
      </c>
      <c r="H16" s="307" t="s">
        <v>333</v>
      </c>
      <c r="I16" s="307" t="s">
        <v>256</v>
      </c>
      <c r="J16" s="307" t="s">
        <v>88</v>
      </c>
      <c r="K16" s="303" t="s">
        <v>258</v>
      </c>
      <c r="L16" s="307" t="s">
        <v>88</v>
      </c>
      <c r="M16" s="303" t="s">
        <v>375</v>
      </c>
      <c r="N16" s="303" t="s">
        <v>88</v>
      </c>
      <c r="O16" s="303" t="s">
        <v>388</v>
      </c>
      <c r="P16" s="303" t="s">
        <v>378</v>
      </c>
      <c r="Q16" s="303" t="s">
        <v>88</v>
      </c>
      <c r="R16" s="317" t="s">
        <v>373</v>
      </c>
      <c r="S16" s="317" t="s">
        <v>380</v>
      </c>
      <c r="T16" s="317" t="s">
        <v>379</v>
      </c>
      <c r="U16" s="317" t="s">
        <v>374</v>
      </c>
      <c r="V16" s="317" t="s">
        <v>83</v>
      </c>
      <c r="W16" s="303" t="s">
        <v>381</v>
      </c>
      <c r="X16" s="303" t="s">
        <v>88</v>
      </c>
      <c r="Y16" s="303" t="s">
        <v>389</v>
      </c>
      <c r="Z16" s="303" t="s">
        <v>382</v>
      </c>
      <c r="AA16" s="303" t="s">
        <v>88</v>
      </c>
      <c r="AB16" s="303" t="s">
        <v>286</v>
      </c>
      <c r="AC16" s="303" t="s">
        <v>83</v>
      </c>
      <c r="AD16" s="307" t="s">
        <v>335</v>
      </c>
      <c r="AE16" s="303" t="s">
        <v>288</v>
      </c>
      <c r="AF16" s="307" t="s">
        <v>88</v>
      </c>
      <c r="AG16" s="307" t="s">
        <v>290</v>
      </c>
      <c r="AH16" s="307" t="s">
        <v>88</v>
      </c>
      <c r="AI16" s="307" t="s">
        <v>336</v>
      </c>
      <c r="AJ16" s="307" t="s">
        <v>293</v>
      </c>
      <c r="AK16" s="307" t="s">
        <v>88</v>
      </c>
      <c r="AL16" s="307" t="s">
        <v>91</v>
      </c>
      <c r="AM16" s="307" t="s">
        <v>26</v>
      </c>
      <c r="AN16" s="307" t="str">
        <f t="shared" si="0"/>
        <v>Config - 158, UHFxC Link, UHF LNA-R1, IP DA: UHF DA-R3, UHF 4 CH SAW FILTER BANK-1, OP DA: UHF DA-R4, UHF x C U/C - R1, UHF x C C SSPA - R1</v>
      </c>
    </row>
    <row r="17" spans="1:40" ht="56.25" x14ac:dyDescent="0.25">
      <c r="A17" s="295">
        <v>159</v>
      </c>
      <c r="B17" s="295">
        <v>83</v>
      </c>
      <c r="C17" s="341">
        <v>306.13906200000002</v>
      </c>
      <c r="D17" s="341">
        <v>4179.1390629999996</v>
      </c>
      <c r="E17" s="307" t="s">
        <v>253</v>
      </c>
      <c r="F17" s="307" t="s">
        <v>254</v>
      </c>
      <c r="G17" s="307" t="s">
        <v>88</v>
      </c>
      <c r="H17" s="307" t="s">
        <v>333</v>
      </c>
      <c r="I17" s="307" t="s">
        <v>256</v>
      </c>
      <c r="J17" s="307" t="s">
        <v>88</v>
      </c>
      <c r="K17" s="303" t="s">
        <v>258</v>
      </c>
      <c r="L17" s="307" t="s">
        <v>88</v>
      </c>
      <c r="M17" s="303" t="s">
        <v>375</v>
      </c>
      <c r="N17" s="303" t="s">
        <v>88</v>
      </c>
      <c r="O17" s="303" t="s">
        <v>388</v>
      </c>
      <c r="P17" s="303" t="s">
        <v>378</v>
      </c>
      <c r="Q17" s="303" t="s">
        <v>88</v>
      </c>
      <c r="R17" s="317" t="s">
        <v>373</v>
      </c>
      <c r="S17" s="317" t="s">
        <v>380</v>
      </c>
      <c r="T17" s="317" t="s">
        <v>379</v>
      </c>
      <c r="U17" s="317" t="s">
        <v>374</v>
      </c>
      <c r="V17" s="317" t="s">
        <v>83</v>
      </c>
      <c r="W17" s="303" t="s">
        <v>381</v>
      </c>
      <c r="X17" s="303" t="s">
        <v>88</v>
      </c>
      <c r="Y17" s="303" t="s">
        <v>389</v>
      </c>
      <c r="Z17" s="303" t="s">
        <v>382</v>
      </c>
      <c r="AA17" s="303" t="s">
        <v>88</v>
      </c>
      <c r="AB17" s="303" t="s">
        <v>286</v>
      </c>
      <c r="AC17" s="303" t="s">
        <v>83</v>
      </c>
      <c r="AD17" s="307" t="s">
        <v>335</v>
      </c>
      <c r="AE17" s="303" t="s">
        <v>288</v>
      </c>
      <c r="AF17" s="307" t="s">
        <v>88</v>
      </c>
      <c r="AG17" s="307" t="s">
        <v>290</v>
      </c>
      <c r="AH17" s="307" t="s">
        <v>88</v>
      </c>
      <c r="AI17" s="307" t="s">
        <v>336</v>
      </c>
      <c r="AJ17" s="307" t="s">
        <v>293</v>
      </c>
      <c r="AK17" s="307" t="s">
        <v>88</v>
      </c>
      <c r="AL17" s="307" t="s">
        <v>91</v>
      </c>
      <c r="AM17" s="307" t="s">
        <v>26</v>
      </c>
      <c r="AN17" s="307" t="str">
        <f t="shared" si="0"/>
        <v>Config - 159, UHFxC Link, UHF LNA-R1, IP DA: UHF DA-R3, UHF 4 CH SAW FILTER BANK-1, OP DA: UHF DA-R4, UHF x C U/C - R1, UHF x C C SSPA - R1</v>
      </c>
    </row>
    <row r="18" spans="1:40" ht="56.25" x14ac:dyDescent="0.25">
      <c r="A18" s="300">
        <v>160</v>
      </c>
      <c r="B18" s="300">
        <v>84</v>
      </c>
      <c r="C18" s="342">
        <v>293.25156299999998</v>
      </c>
      <c r="D18" s="342">
        <v>4166.2515629999998</v>
      </c>
      <c r="E18" s="307" t="s">
        <v>253</v>
      </c>
      <c r="F18" s="307" t="s">
        <v>254</v>
      </c>
      <c r="G18" s="307" t="s">
        <v>88</v>
      </c>
      <c r="H18" s="307" t="s">
        <v>333</v>
      </c>
      <c r="I18" s="307" t="s">
        <v>256</v>
      </c>
      <c r="J18" s="307" t="s">
        <v>88</v>
      </c>
      <c r="K18" s="303" t="s">
        <v>258</v>
      </c>
      <c r="L18" s="307" t="s">
        <v>88</v>
      </c>
      <c r="M18" s="303" t="s">
        <v>375</v>
      </c>
      <c r="N18" s="303" t="s">
        <v>88</v>
      </c>
      <c r="O18" s="303" t="s">
        <v>388</v>
      </c>
      <c r="P18" s="303" t="s">
        <v>378</v>
      </c>
      <c r="Q18" s="303" t="s">
        <v>88</v>
      </c>
      <c r="R18" s="317" t="s">
        <v>373</v>
      </c>
      <c r="S18" s="317" t="s">
        <v>88</v>
      </c>
      <c r="T18" s="317" t="s">
        <v>383</v>
      </c>
      <c r="U18" s="317" t="s">
        <v>374</v>
      </c>
      <c r="V18" s="317" t="s">
        <v>88</v>
      </c>
      <c r="W18" s="303" t="s">
        <v>381</v>
      </c>
      <c r="X18" s="303" t="s">
        <v>88</v>
      </c>
      <c r="Y18" s="303" t="s">
        <v>389</v>
      </c>
      <c r="Z18" s="303" t="s">
        <v>382</v>
      </c>
      <c r="AA18" s="303" t="s">
        <v>88</v>
      </c>
      <c r="AB18" s="303" t="s">
        <v>286</v>
      </c>
      <c r="AC18" s="303" t="s">
        <v>83</v>
      </c>
      <c r="AD18" s="307" t="s">
        <v>335</v>
      </c>
      <c r="AE18" s="303" t="s">
        <v>288</v>
      </c>
      <c r="AF18" s="307" t="s">
        <v>88</v>
      </c>
      <c r="AG18" s="307" t="s">
        <v>290</v>
      </c>
      <c r="AH18" s="307" t="s">
        <v>88</v>
      </c>
      <c r="AI18" s="307" t="s">
        <v>336</v>
      </c>
      <c r="AJ18" s="307" t="s">
        <v>293</v>
      </c>
      <c r="AK18" s="307" t="s">
        <v>88</v>
      </c>
      <c r="AL18" s="307" t="s">
        <v>91</v>
      </c>
      <c r="AM18" s="307" t="s">
        <v>26</v>
      </c>
      <c r="AN18" s="307" t="str">
        <f t="shared" si="0"/>
        <v>Config - 160, UHFxC Link, UHF LNA-R1, IP DA: UHF DA-R3, UHF 4 CH SAW FILTER BANK-2, OP DA: UHF DA-R4, UHF x C U/C - R1, UHF x C C SSPA - R1</v>
      </c>
    </row>
    <row r="19" spans="1:40" ht="56.25" x14ac:dyDescent="0.25">
      <c r="A19" s="300">
        <v>161</v>
      </c>
      <c r="B19" s="300">
        <v>85</v>
      </c>
      <c r="C19" s="342">
        <v>294.90703100000002</v>
      </c>
      <c r="D19" s="342">
        <v>4167.9070309999997</v>
      </c>
      <c r="E19" s="307" t="s">
        <v>253</v>
      </c>
      <c r="F19" s="307" t="s">
        <v>254</v>
      </c>
      <c r="G19" s="307" t="s">
        <v>88</v>
      </c>
      <c r="H19" s="307" t="s">
        <v>333</v>
      </c>
      <c r="I19" s="307" t="s">
        <v>256</v>
      </c>
      <c r="J19" s="307" t="s">
        <v>88</v>
      </c>
      <c r="K19" s="303" t="s">
        <v>258</v>
      </c>
      <c r="L19" s="307" t="s">
        <v>88</v>
      </c>
      <c r="M19" s="303" t="s">
        <v>375</v>
      </c>
      <c r="N19" s="303" t="s">
        <v>88</v>
      </c>
      <c r="O19" s="303" t="s">
        <v>388</v>
      </c>
      <c r="P19" s="303" t="s">
        <v>378</v>
      </c>
      <c r="Q19" s="303" t="s">
        <v>88</v>
      </c>
      <c r="R19" s="317" t="s">
        <v>373</v>
      </c>
      <c r="S19" s="317" t="s">
        <v>88</v>
      </c>
      <c r="T19" s="317" t="s">
        <v>383</v>
      </c>
      <c r="U19" s="317" t="s">
        <v>374</v>
      </c>
      <c r="V19" s="317" t="s">
        <v>88</v>
      </c>
      <c r="W19" s="303" t="s">
        <v>381</v>
      </c>
      <c r="X19" s="303" t="s">
        <v>88</v>
      </c>
      <c r="Y19" s="303" t="s">
        <v>389</v>
      </c>
      <c r="Z19" s="303" t="s">
        <v>382</v>
      </c>
      <c r="AA19" s="303" t="s">
        <v>88</v>
      </c>
      <c r="AB19" s="303" t="s">
        <v>286</v>
      </c>
      <c r="AC19" s="303" t="s">
        <v>83</v>
      </c>
      <c r="AD19" s="307" t="s">
        <v>335</v>
      </c>
      <c r="AE19" s="303" t="s">
        <v>288</v>
      </c>
      <c r="AF19" s="307" t="s">
        <v>88</v>
      </c>
      <c r="AG19" s="307" t="s">
        <v>290</v>
      </c>
      <c r="AH19" s="307" t="s">
        <v>88</v>
      </c>
      <c r="AI19" s="307" t="s">
        <v>336</v>
      </c>
      <c r="AJ19" s="307" t="s">
        <v>293</v>
      </c>
      <c r="AK19" s="307" t="s">
        <v>88</v>
      </c>
      <c r="AL19" s="307" t="s">
        <v>91</v>
      </c>
      <c r="AM19" s="307" t="s">
        <v>26</v>
      </c>
      <c r="AN19" s="307" t="str">
        <f t="shared" si="0"/>
        <v>Config - 161, UHFxC Link, UHF LNA-R1, IP DA: UHF DA-R3, UHF 4 CH SAW FILTER BANK-2, OP DA: UHF DA-R4, UHF x C U/C - R1, UHF x C C SSPA - R1</v>
      </c>
    </row>
    <row r="20" spans="1:40" ht="56.25" x14ac:dyDescent="0.25">
      <c r="A20" s="300">
        <v>162</v>
      </c>
      <c r="B20" s="300">
        <v>86</v>
      </c>
      <c r="C20" s="342">
        <v>299.74453099999999</v>
      </c>
      <c r="D20" s="342">
        <v>4172.7445310000003</v>
      </c>
      <c r="E20" s="307" t="s">
        <v>253</v>
      </c>
      <c r="F20" s="307" t="s">
        <v>254</v>
      </c>
      <c r="G20" s="307" t="s">
        <v>88</v>
      </c>
      <c r="H20" s="307" t="s">
        <v>333</v>
      </c>
      <c r="I20" s="307" t="s">
        <v>256</v>
      </c>
      <c r="J20" s="307" t="s">
        <v>88</v>
      </c>
      <c r="K20" s="303" t="s">
        <v>258</v>
      </c>
      <c r="L20" s="307" t="s">
        <v>88</v>
      </c>
      <c r="M20" s="303" t="s">
        <v>375</v>
      </c>
      <c r="N20" s="303" t="s">
        <v>88</v>
      </c>
      <c r="O20" s="303" t="s">
        <v>388</v>
      </c>
      <c r="P20" s="303" t="s">
        <v>378</v>
      </c>
      <c r="Q20" s="303" t="s">
        <v>88</v>
      </c>
      <c r="R20" s="317" t="s">
        <v>373</v>
      </c>
      <c r="S20" s="317" t="s">
        <v>88</v>
      </c>
      <c r="T20" s="317" t="s">
        <v>383</v>
      </c>
      <c r="U20" s="317" t="s">
        <v>374</v>
      </c>
      <c r="V20" s="317" t="s">
        <v>88</v>
      </c>
      <c r="W20" s="303" t="s">
        <v>381</v>
      </c>
      <c r="X20" s="303" t="s">
        <v>88</v>
      </c>
      <c r="Y20" s="303" t="s">
        <v>389</v>
      </c>
      <c r="Z20" s="303" t="s">
        <v>382</v>
      </c>
      <c r="AA20" s="303" t="s">
        <v>88</v>
      </c>
      <c r="AB20" s="303" t="s">
        <v>286</v>
      </c>
      <c r="AC20" s="303" t="s">
        <v>83</v>
      </c>
      <c r="AD20" s="307" t="s">
        <v>335</v>
      </c>
      <c r="AE20" s="303" t="s">
        <v>288</v>
      </c>
      <c r="AF20" s="307" t="s">
        <v>88</v>
      </c>
      <c r="AG20" s="307" t="s">
        <v>290</v>
      </c>
      <c r="AH20" s="307" t="s">
        <v>88</v>
      </c>
      <c r="AI20" s="307" t="s">
        <v>336</v>
      </c>
      <c r="AJ20" s="307" t="s">
        <v>293</v>
      </c>
      <c r="AK20" s="307" t="s">
        <v>88</v>
      </c>
      <c r="AL20" s="307" t="s">
        <v>91</v>
      </c>
      <c r="AM20" s="307" t="s">
        <v>26</v>
      </c>
      <c r="AN20" s="307" t="str">
        <f t="shared" si="0"/>
        <v>Config - 162, UHFxC Link, UHF LNA-R1, IP DA: UHF DA-R3, UHF 4 CH SAW FILTER BANK-2, OP DA: UHF DA-R4, UHF x C U/C - R1, UHF x C C SSPA - R1</v>
      </c>
    </row>
    <row r="21" spans="1:40" ht="56.25" x14ac:dyDescent="0.25">
      <c r="A21" s="300">
        <v>163</v>
      </c>
      <c r="B21" s="300">
        <v>87</v>
      </c>
      <c r="C21" s="342">
        <v>309.04374999999999</v>
      </c>
      <c r="D21" s="342">
        <v>4182.0437499999998</v>
      </c>
      <c r="E21" s="307" t="s">
        <v>253</v>
      </c>
      <c r="F21" s="307" t="s">
        <v>254</v>
      </c>
      <c r="G21" s="307" t="s">
        <v>88</v>
      </c>
      <c r="H21" s="307" t="s">
        <v>333</v>
      </c>
      <c r="I21" s="307" t="s">
        <v>256</v>
      </c>
      <c r="J21" s="307" t="s">
        <v>88</v>
      </c>
      <c r="K21" s="303" t="s">
        <v>258</v>
      </c>
      <c r="L21" s="307" t="s">
        <v>88</v>
      </c>
      <c r="M21" s="303" t="s">
        <v>375</v>
      </c>
      <c r="N21" s="303" t="s">
        <v>88</v>
      </c>
      <c r="O21" s="303" t="s">
        <v>388</v>
      </c>
      <c r="P21" s="303" t="s">
        <v>378</v>
      </c>
      <c r="Q21" s="303" t="s">
        <v>88</v>
      </c>
      <c r="R21" s="317" t="s">
        <v>373</v>
      </c>
      <c r="S21" s="317" t="s">
        <v>88</v>
      </c>
      <c r="T21" s="317" t="s">
        <v>383</v>
      </c>
      <c r="U21" s="317" t="s">
        <v>374</v>
      </c>
      <c r="V21" s="317" t="s">
        <v>88</v>
      </c>
      <c r="W21" s="303" t="s">
        <v>381</v>
      </c>
      <c r="X21" s="303" t="s">
        <v>88</v>
      </c>
      <c r="Y21" s="303" t="s">
        <v>389</v>
      </c>
      <c r="Z21" s="303" t="s">
        <v>382</v>
      </c>
      <c r="AA21" s="303" t="s">
        <v>88</v>
      </c>
      <c r="AB21" s="303" t="s">
        <v>286</v>
      </c>
      <c r="AC21" s="303" t="s">
        <v>83</v>
      </c>
      <c r="AD21" s="307" t="s">
        <v>335</v>
      </c>
      <c r="AE21" s="303" t="s">
        <v>288</v>
      </c>
      <c r="AF21" s="307" t="s">
        <v>88</v>
      </c>
      <c r="AG21" s="307" t="s">
        <v>290</v>
      </c>
      <c r="AH21" s="307" t="s">
        <v>88</v>
      </c>
      <c r="AI21" s="307" t="s">
        <v>336</v>
      </c>
      <c r="AJ21" s="307" t="s">
        <v>293</v>
      </c>
      <c r="AK21" s="307" t="s">
        <v>88</v>
      </c>
      <c r="AL21" s="307" t="s">
        <v>91</v>
      </c>
      <c r="AM21" s="307" t="s">
        <v>26</v>
      </c>
      <c r="AN21" s="307" t="str">
        <f t="shared" si="0"/>
        <v>Config - 163, UHFxC Link, UHF LNA-R1, IP DA: UHF DA-R3, UHF 4 CH SAW FILTER BANK-2, OP DA: UHF DA-R4, UHF x C U/C - R1, UHF x C C SSPA - R1</v>
      </c>
    </row>
    <row r="22" spans="1:40" ht="56.25" x14ac:dyDescent="0.25">
      <c r="A22" s="317">
        <v>164</v>
      </c>
      <c r="B22" s="317">
        <v>88</v>
      </c>
      <c r="C22" s="343">
        <v>301.25078100000002</v>
      </c>
      <c r="D22" s="343">
        <v>4174.2507809999997</v>
      </c>
      <c r="E22" s="307" t="s">
        <v>253</v>
      </c>
      <c r="F22" s="307" t="s">
        <v>254</v>
      </c>
      <c r="G22" s="307" t="s">
        <v>88</v>
      </c>
      <c r="H22" s="307" t="s">
        <v>333</v>
      </c>
      <c r="I22" s="307" t="s">
        <v>256</v>
      </c>
      <c r="J22" s="307" t="s">
        <v>88</v>
      </c>
      <c r="K22" s="303" t="s">
        <v>258</v>
      </c>
      <c r="L22" s="307" t="s">
        <v>88</v>
      </c>
      <c r="M22" s="303" t="s">
        <v>375</v>
      </c>
      <c r="N22" s="303" t="s">
        <v>88</v>
      </c>
      <c r="O22" s="303" t="s">
        <v>388</v>
      </c>
      <c r="P22" s="303" t="s">
        <v>378</v>
      </c>
      <c r="Q22" s="303" t="s">
        <v>88</v>
      </c>
      <c r="R22" s="317" t="s">
        <v>373</v>
      </c>
      <c r="S22" s="317" t="s">
        <v>83</v>
      </c>
      <c r="T22" s="317" t="s">
        <v>384</v>
      </c>
      <c r="U22" s="317" t="s">
        <v>374</v>
      </c>
      <c r="V22" s="317" t="s">
        <v>380</v>
      </c>
      <c r="W22" s="303" t="s">
        <v>381</v>
      </c>
      <c r="X22" s="303" t="s">
        <v>88</v>
      </c>
      <c r="Y22" s="303" t="s">
        <v>389</v>
      </c>
      <c r="Z22" s="303" t="s">
        <v>382</v>
      </c>
      <c r="AA22" s="303" t="s">
        <v>88</v>
      </c>
      <c r="AB22" s="303" t="s">
        <v>286</v>
      </c>
      <c r="AC22" s="303" t="s">
        <v>83</v>
      </c>
      <c r="AD22" s="307" t="s">
        <v>335</v>
      </c>
      <c r="AE22" s="303" t="s">
        <v>288</v>
      </c>
      <c r="AF22" s="307" t="s">
        <v>88</v>
      </c>
      <c r="AG22" s="307" t="s">
        <v>290</v>
      </c>
      <c r="AH22" s="307" t="s">
        <v>88</v>
      </c>
      <c r="AI22" s="307" t="s">
        <v>336</v>
      </c>
      <c r="AJ22" s="307" t="s">
        <v>293</v>
      </c>
      <c r="AK22" s="307" t="s">
        <v>88</v>
      </c>
      <c r="AL22" s="307" t="s">
        <v>91</v>
      </c>
      <c r="AM22" s="307" t="s">
        <v>26</v>
      </c>
      <c r="AN22" s="307" t="str">
        <f t="shared" si="0"/>
        <v>Config - 164, UHFxC Link, UHF LNA-R1, IP DA: UHF DA-R3, UHF 4 CH SAW FILTER BANK-3, OP DA: UHF DA-R4, UHF x C U/C - R1, UHF x C C SSPA - R1</v>
      </c>
    </row>
    <row r="23" spans="1:40" ht="56.25" x14ac:dyDescent="0.25">
      <c r="A23" s="317">
        <v>165</v>
      </c>
      <c r="B23" s="317">
        <v>89</v>
      </c>
      <c r="C23" s="343">
        <v>302.91640599999999</v>
      </c>
      <c r="D23" s="343">
        <v>4175.9164060000003</v>
      </c>
      <c r="E23" s="307" t="s">
        <v>253</v>
      </c>
      <c r="F23" s="307" t="s">
        <v>254</v>
      </c>
      <c r="G23" s="307" t="s">
        <v>88</v>
      </c>
      <c r="H23" s="307" t="s">
        <v>333</v>
      </c>
      <c r="I23" s="307" t="s">
        <v>256</v>
      </c>
      <c r="J23" s="307" t="s">
        <v>88</v>
      </c>
      <c r="K23" s="303" t="s">
        <v>258</v>
      </c>
      <c r="L23" s="307" t="s">
        <v>88</v>
      </c>
      <c r="M23" s="303" t="s">
        <v>375</v>
      </c>
      <c r="N23" s="303" t="s">
        <v>88</v>
      </c>
      <c r="O23" s="303" t="s">
        <v>388</v>
      </c>
      <c r="P23" s="303" t="s">
        <v>378</v>
      </c>
      <c r="Q23" s="303" t="s">
        <v>88</v>
      </c>
      <c r="R23" s="317" t="s">
        <v>373</v>
      </c>
      <c r="S23" s="317" t="s">
        <v>83</v>
      </c>
      <c r="T23" s="317" t="s">
        <v>384</v>
      </c>
      <c r="U23" s="317" t="s">
        <v>374</v>
      </c>
      <c r="V23" s="317" t="s">
        <v>380</v>
      </c>
      <c r="W23" s="303" t="s">
        <v>381</v>
      </c>
      <c r="X23" s="303" t="s">
        <v>88</v>
      </c>
      <c r="Y23" s="303" t="s">
        <v>389</v>
      </c>
      <c r="Z23" s="303" t="s">
        <v>382</v>
      </c>
      <c r="AA23" s="303" t="s">
        <v>88</v>
      </c>
      <c r="AB23" s="303" t="s">
        <v>286</v>
      </c>
      <c r="AC23" s="303" t="s">
        <v>83</v>
      </c>
      <c r="AD23" s="307" t="s">
        <v>335</v>
      </c>
      <c r="AE23" s="303" t="s">
        <v>288</v>
      </c>
      <c r="AF23" s="307" t="s">
        <v>88</v>
      </c>
      <c r="AG23" s="307" t="s">
        <v>290</v>
      </c>
      <c r="AH23" s="307" t="s">
        <v>88</v>
      </c>
      <c r="AI23" s="307" t="s">
        <v>336</v>
      </c>
      <c r="AJ23" s="307" t="s">
        <v>293</v>
      </c>
      <c r="AK23" s="307" t="s">
        <v>88</v>
      </c>
      <c r="AL23" s="307" t="s">
        <v>91</v>
      </c>
      <c r="AM23" s="307" t="s">
        <v>26</v>
      </c>
      <c r="AN23" s="307" t="str">
        <f t="shared" si="0"/>
        <v>Config - 165, UHFxC Link, UHF LNA-R1, IP DA: UHF DA-R3, UHF 4 CH SAW FILTER BANK-3, OP DA: UHF DA-R4, UHF x C U/C - R1, UHF x C C SSPA - R1</v>
      </c>
    </row>
    <row r="24" spans="1:40" ht="56.25" x14ac:dyDescent="0.25">
      <c r="A24" s="317">
        <v>166</v>
      </c>
      <c r="B24" s="317">
        <v>90</v>
      </c>
      <c r="C24" s="343">
        <v>307.75390599999997</v>
      </c>
      <c r="D24" s="343">
        <v>4180.7539059999999</v>
      </c>
      <c r="E24" s="307" t="s">
        <v>253</v>
      </c>
      <c r="F24" s="307" t="s">
        <v>254</v>
      </c>
      <c r="G24" s="307" t="s">
        <v>88</v>
      </c>
      <c r="H24" s="307" t="s">
        <v>333</v>
      </c>
      <c r="I24" s="307" t="s">
        <v>256</v>
      </c>
      <c r="J24" s="307" t="s">
        <v>88</v>
      </c>
      <c r="K24" s="303" t="s">
        <v>258</v>
      </c>
      <c r="L24" s="307" t="s">
        <v>88</v>
      </c>
      <c r="M24" s="303" t="s">
        <v>375</v>
      </c>
      <c r="N24" s="303" t="s">
        <v>88</v>
      </c>
      <c r="O24" s="303" t="s">
        <v>388</v>
      </c>
      <c r="P24" s="303" t="s">
        <v>378</v>
      </c>
      <c r="Q24" s="303" t="s">
        <v>88</v>
      </c>
      <c r="R24" s="317" t="s">
        <v>373</v>
      </c>
      <c r="S24" s="317" t="s">
        <v>83</v>
      </c>
      <c r="T24" s="317" t="s">
        <v>384</v>
      </c>
      <c r="U24" s="317" t="s">
        <v>374</v>
      </c>
      <c r="V24" s="317" t="s">
        <v>380</v>
      </c>
      <c r="W24" s="303" t="s">
        <v>381</v>
      </c>
      <c r="X24" s="303" t="s">
        <v>88</v>
      </c>
      <c r="Y24" s="303" t="s">
        <v>389</v>
      </c>
      <c r="Z24" s="303" t="s">
        <v>382</v>
      </c>
      <c r="AA24" s="303" t="s">
        <v>88</v>
      </c>
      <c r="AB24" s="303" t="s">
        <v>286</v>
      </c>
      <c r="AC24" s="303" t="s">
        <v>83</v>
      </c>
      <c r="AD24" s="307" t="s">
        <v>335</v>
      </c>
      <c r="AE24" s="303" t="s">
        <v>288</v>
      </c>
      <c r="AF24" s="307" t="s">
        <v>88</v>
      </c>
      <c r="AG24" s="307" t="s">
        <v>290</v>
      </c>
      <c r="AH24" s="307" t="s">
        <v>88</v>
      </c>
      <c r="AI24" s="307" t="s">
        <v>336</v>
      </c>
      <c r="AJ24" s="307" t="s">
        <v>293</v>
      </c>
      <c r="AK24" s="307" t="s">
        <v>88</v>
      </c>
      <c r="AL24" s="307" t="s">
        <v>91</v>
      </c>
      <c r="AM24" s="307" t="s">
        <v>26</v>
      </c>
      <c r="AN24" s="307" t="str">
        <f t="shared" si="0"/>
        <v>Config - 166, UHFxC Link, UHF LNA-R1, IP DA: UHF DA-R3, UHF 4 CH SAW FILTER BANK-3, OP DA: UHF DA-R4, UHF x C U/C - R1, UHF x C C SSPA - R1</v>
      </c>
    </row>
    <row r="25" spans="1:40" ht="56.25" x14ac:dyDescent="0.25">
      <c r="A25" s="317">
        <v>167</v>
      </c>
      <c r="B25" s="317">
        <v>91</v>
      </c>
      <c r="C25" s="343">
        <v>308.06875000000002</v>
      </c>
      <c r="D25" s="343">
        <v>4181.0687500000004</v>
      </c>
      <c r="E25" s="307" t="s">
        <v>253</v>
      </c>
      <c r="F25" s="307" t="s">
        <v>254</v>
      </c>
      <c r="G25" s="307" t="s">
        <v>88</v>
      </c>
      <c r="H25" s="307" t="s">
        <v>333</v>
      </c>
      <c r="I25" s="307" t="s">
        <v>256</v>
      </c>
      <c r="J25" s="307" t="s">
        <v>88</v>
      </c>
      <c r="K25" s="303" t="s">
        <v>258</v>
      </c>
      <c r="L25" s="307" t="s">
        <v>88</v>
      </c>
      <c r="M25" s="303" t="s">
        <v>375</v>
      </c>
      <c r="N25" s="303" t="s">
        <v>88</v>
      </c>
      <c r="O25" s="303" t="s">
        <v>388</v>
      </c>
      <c r="P25" s="303" t="s">
        <v>378</v>
      </c>
      <c r="Q25" s="303" t="s">
        <v>88</v>
      </c>
      <c r="R25" s="317" t="s">
        <v>373</v>
      </c>
      <c r="S25" s="317" t="s">
        <v>83</v>
      </c>
      <c r="T25" s="317" t="s">
        <v>384</v>
      </c>
      <c r="U25" s="317" t="s">
        <v>374</v>
      </c>
      <c r="V25" s="317" t="s">
        <v>380</v>
      </c>
      <c r="W25" s="303" t="s">
        <v>381</v>
      </c>
      <c r="X25" s="303" t="s">
        <v>88</v>
      </c>
      <c r="Y25" s="303" t="s">
        <v>389</v>
      </c>
      <c r="Z25" s="303" t="s">
        <v>382</v>
      </c>
      <c r="AA25" s="303" t="s">
        <v>88</v>
      </c>
      <c r="AB25" s="303" t="s">
        <v>286</v>
      </c>
      <c r="AC25" s="303" t="s">
        <v>83</v>
      </c>
      <c r="AD25" s="307" t="s">
        <v>335</v>
      </c>
      <c r="AE25" s="303" t="s">
        <v>288</v>
      </c>
      <c r="AF25" s="307" t="s">
        <v>88</v>
      </c>
      <c r="AG25" s="307" t="s">
        <v>290</v>
      </c>
      <c r="AH25" s="307" t="s">
        <v>88</v>
      </c>
      <c r="AI25" s="307" t="s">
        <v>336</v>
      </c>
      <c r="AJ25" s="307" t="s">
        <v>293</v>
      </c>
      <c r="AK25" s="307" t="s">
        <v>88</v>
      </c>
      <c r="AL25" s="307" t="s">
        <v>91</v>
      </c>
      <c r="AM25" s="307" t="s">
        <v>26</v>
      </c>
      <c r="AN25" s="307" t="str">
        <f t="shared" si="0"/>
        <v>Config - 167, UHFxC Link, UHF LNA-R1, IP DA: UHF DA-R3, UHF 4 CH SAW FILTER BANK-3, OP DA: UHF DA-R4, UHF x C U/C - R1, UHF x C C SSPA - R1</v>
      </c>
    </row>
  </sheetData>
  <autoFilter ref="A1:AM7"/>
  <pageMargins left="0.7" right="0.7" top="0.75" bottom="0.75" header="0.3" footer="0.3"/>
  <pageSetup paperSize="8" scale="25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2"/>
  <sheetViews>
    <sheetView tabSelected="1" topLeftCell="AD1" zoomScale="85" zoomScaleNormal="85" workbookViewId="0">
      <pane ySplit="1" topLeftCell="A14" activePane="bottomLeft" state="frozen"/>
      <selection activeCell="P1" sqref="P1"/>
      <selection pane="bottomLeft" activeCell="AO19" sqref="AO19"/>
    </sheetView>
  </sheetViews>
  <sheetFormatPr defaultColWidth="9.140625" defaultRowHeight="15" x14ac:dyDescent="0.25"/>
  <cols>
    <col min="1" max="2" width="9.140625" style="109"/>
    <col min="3" max="3" width="15.28515625" style="109" bestFit="1" customWidth="1"/>
    <col min="4" max="4" width="14" style="109" bestFit="1" customWidth="1"/>
    <col min="5" max="5" width="22.140625" style="109" customWidth="1"/>
    <col min="6" max="6" width="24.42578125" style="109" bestFit="1" customWidth="1"/>
    <col min="7" max="7" width="19" style="109" bestFit="1" customWidth="1"/>
    <col min="8" max="8" width="21.140625" style="109" customWidth="1"/>
    <col min="9" max="9" width="14.140625" style="109" bestFit="1" customWidth="1"/>
    <col min="10" max="10" width="19" style="109" bestFit="1" customWidth="1"/>
    <col min="11" max="11" width="21.140625" style="109" customWidth="1"/>
    <col min="12" max="12" width="18.42578125" style="62" bestFit="1" customWidth="1"/>
    <col min="13" max="13" width="20.28515625" style="62" bestFit="1" customWidth="1"/>
    <col min="14" max="14" width="18.42578125" style="62" bestFit="1" customWidth="1"/>
    <col min="15" max="15" width="20.28515625" style="62" bestFit="1" customWidth="1"/>
    <col min="16" max="16" width="20.28515625" style="62" customWidth="1"/>
    <col min="17" max="17" width="18.42578125" style="62" customWidth="1"/>
    <col min="18" max="18" width="20.28515625" style="62" customWidth="1"/>
    <col min="19" max="19" width="25.42578125" style="80" customWidth="1"/>
    <col min="20" max="20" width="25.42578125" style="62" customWidth="1"/>
    <col min="21" max="21" width="31.140625" style="63" customWidth="1"/>
    <col min="22" max="22" width="25.85546875" style="62" bestFit="1" customWidth="1"/>
    <col min="23" max="23" width="42.140625" style="84" bestFit="1" customWidth="1"/>
    <col min="24" max="24" width="42.85546875" style="83" bestFit="1" customWidth="1"/>
    <col min="25" max="25" width="43" style="84" bestFit="1" customWidth="1"/>
    <col min="26" max="27" width="10.28515625" style="63" customWidth="1"/>
    <col min="28" max="28" width="31" style="63" bestFit="1" customWidth="1"/>
    <col min="29" max="29" width="21.5703125" style="62" customWidth="1"/>
    <col min="30" max="30" width="30.28515625" style="127" customWidth="1"/>
    <col min="31" max="31" width="33.28515625" style="127" customWidth="1"/>
    <col min="32" max="32" width="30.140625" style="127" customWidth="1"/>
    <col min="33" max="33" width="15" style="62" customWidth="1"/>
    <col min="34" max="34" width="18.7109375" style="62" bestFit="1" customWidth="1"/>
    <col min="35" max="35" width="38.5703125" style="62" bestFit="1" customWidth="1"/>
    <col min="36" max="36" width="27.28515625" style="62" bestFit="1" customWidth="1"/>
    <col min="37" max="37" width="18.85546875" style="109" customWidth="1"/>
    <col min="38" max="38" width="22" style="109" customWidth="1"/>
    <col min="39" max="39" width="19.28515625" style="109" customWidth="1"/>
    <col min="40" max="40" width="18.85546875" style="109" customWidth="1"/>
    <col min="41" max="41" width="23.7109375" style="109" customWidth="1"/>
    <col min="42" max="42" width="27.42578125" style="109" bestFit="1" customWidth="1"/>
    <col min="43" max="43" width="25.42578125" style="109" bestFit="1" customWidth="1"/>
    <col min="44" max="44" width="159.85546875" style="109" bestFit="1" customWidth="1"/>
    <col min="45" max="16384" width="9.140625" style="109"/>
  </cols>
  <sheetData>
    <row r="1" spans="1:53" s="114" customFormat="1" x14ac:dyDescent="0.25">
      <c r="A1" s="87" t="s">
        <v>23</v>
      </c>
      <c r="B1" s="87" t="s">
        <v>31</v>
      </c>
      <c r="C1" s="87" t="s">
        <v>35</v>
      </c>
      <c r="D1" s="87" t="s">
        <v>36</v>
      </c>
      <c r="E1" s="87" t="s">
        <v>89</v>
      </c>
      <c r="F1" s="87" t="s">
        <v>25</v>
      </c>
      <c r="G1" s="87" t="s">
        <v>254</v>
      </c>
      <c r="H1" s="87" t="s">
        <v>255</v>
      </c>
      <c r="I1" s="87" t="s">
        <v>140</v>
      </c>
      <c r="J1" s="87" t="s">
        <v>256</v>
      </c>
      <c r="K1" s="87" t="s">
        <v>257</v>
      </c>
      <c r="L1" s="88" t="s">
        <v>258</v>
      </c>
      <c r="M1" s="88" t="s">
        <v>259</v>
      </c>
      <c r="N1" s="88" t="s">
        <v>260</v>
      </c>
      <c r="O1" s="88" t="s">
        <v>261</v>
      </c>
      <c r="P1" s="88" t="s">
        <v>262</v>
      </c>
      <c r="Q1" s="88" t="s">
        <v>263</v>
      </c>
      <c r="R1" s="88" t="s">
        <v>264</v>
      </c>
      <c r="S1" s="89" t="s">
        <v>330</v>
      </c>
      <c r="T1" s="88" t="s">
        <v>272</v>
      </c>
      <c r="U1" s="90" t="s">
        <v>197</v>
      </c>
      <c r="V1" s="88" t="s">
        <v>265</v>
      </c>
      <c r="W1" s="96" t="s">
        <v>266</v>
      </c>
      <c r="X1" s="97" t="s">
        <v>267</v>
      </c>
      <c r="Y1" s="96" t="s">
        <v>318</v>
      </c>
      <c r="Z1" s="90" t="s">
        <v>118</v>
      </c>
      <c r="AA1" s="90" t="s">
        <v>119</v>
      </c>
      <c r="AB1" s="90" t="s">
        <v>198</v>
      </c>
      <c r="AC1" s="54" t="s">
        <v>225</v>
      </c>
      <c r="AD1" s="125" t="s">
        <v>231</v>
      </c>
      <c r="AE1" s="125" t="s">
        <v>223</v>
      </c>
      <c r="AF1" s="125" t="s">
        <v>224</v>
      </c>
      <c r="AG1" s="54" t="s">
        <v>199</v>
      </c>
      <c r="AH1" s="54" t="s">
        <v>200</v>
      </c>
      <c r="AI1" s="58" t="s">
        <v>201</v>
      </c>
      <c r="AJ1" s="54" t="s">
        <v>202</v>
      </c>
      <c r="AK1" s="113" t="s">
        <v>203</v>
      </c>
      <c r="AL1" s="113" t="s">
        <v>204</v>
      </c>
      <c r="AM1" s="113" t="s">
        <v>205</v>
      </c>
      <c r="AN1" s="113" t="s">
        <v>206</v>
      </c>
      <c r="AO1" s="113" t="s">
        <v>207</v>
      </c>
      <c r="AP1" s="113" t="s">
        <v>41</v>
      </c>
      <c r="AQ1" s="87" t="s">
        <v>90</v>
      </c>
      <c r="AR1" s="113" t="s">
        <v>524</v>
      </c>
      <c r="AS1" s="113"/>
      <c r="AT1" s="113"/>
      <c r="AU1" s="113"/>
      <c r="AV1" s="113"/>
      <c r="AW1" s="113"/>
      <c r="AX1" s="113"/>
      <c r="AY1" s="113"/>
      <c r="AZ1" s="113"/>
      <c r="BA1" s="113"/>
    </row>
    <row r="2" spans="1:53" ht="45" x14ac:dyDescent="0.25">
      <c r="A2" s="92">
        <v>57</v>
      </c>
      <c r="B2" s="187">
        <v>57</v>
      </c>
      <c r="C2" s="85">
        <v>291.96171900000002</v>
      </c>
      <c r="D2" s="85">
        <v>249.273438</v>
      </c>
      <c r="E2" s="115">
        <v>57</v>
      </c>
      <c r="F2" s="115" t="s">
        <v>253</v>
      </c>
      <c r="G2" s="110" t="s">
        <v>254</v>
      </c>
      <c r="H2" s="115" t="s">
        <v>83</v>
      </c>
      <c r="I2" s="115" t="s">
        <v>295</v>
      </c>
      <c r="J2" s="110" t="s">
        <v>256</v>
      </c>
      <c r="K2" s="115" t="s">
        <v>83</v>
      </c>
      <c r="L2" s="57" t="s">
        <v>258</v>
      </c>
      <c r="M2" s="115" t="s">
        <v>83</v>
      </c>
      <c r="N2" s="81" t="s">
        <v>302</v>
      </c>
      <c r="O2" s="81" t="s">
        <v>251</v>
      </c>
      <c r="P2" s="60" t="s">
        <v>296</v>
      </c>
      <c r="Q2" s="81" t="s">
        <v>311</v>
      </c>
      <c r="R2" s="81" t="s">
        <v>63</v>
      </c>
      <c r="S2" s="17" t="s">
        <v>331</v>
      </c>
      <c r="T2" s="81">
        <v>1</v>
      </c>
      <c r="U2" s="16" t="s">
        <v>120</v>
      </c>
      <c r="V2" s="81">
        <v>1</v>
      </c>
      <c r="W2" s="81" t="s">
        <v>209</v>
      </c>
      <c r="X2" s="81" t="s">
        <v>316</v>
      </c>
      <c r="Y2" s="81" t="s">
        <v>317</v>
      </c>
      <c r="Z2" s="16" t="s">
        <v>120</v>
      </c>
      <c r="AA2" s="16" t="s">
        <v>120</v>
      </c>
      <c r="AB2" s="16" t="s">
        <v>120</v>
      </c>
      <c r="AC2" s="56">
        <v>2</v>
      </c>
      <c r="AD2" s="126" t="s">
        <v>209</v>
      </c>
      <c r="AE2" s="126" t="s">
        <v>136</v>
      </c>
      <c r="AF2" s="126" t="s">
        <v>121</v>
      </c>
      <c r="AG2" s="55" t="s">
        <v>216</v>
      </c>
      <c r="AH2" s="56" t="s">
        <v>219</v>
      </c>
      <c r="AI2" s="56" t="s">
        <v>213</v>
      </c>
      <c r="AJ2" s="56" t="s">
        <v>83</v>
      </c>
      <c r="AK2" s="110" t="s">
        <v>243</v>
      </c>
      <c r="AL2" s="115" t="s">
        <v>250</v>
      </c>
      <c r="AM2" s="115" t="s">
        <v>239</v>
      </c>
      <c r="AN2" s="110" t="s">
        <v>247</v>
      </c>
      <c r="AO2" s="115" t="s">
        <v>250</v>
      </c>
      <c r="AP2" s="115" t="s">
        <v>208</v>
      </c>
      <c r="AQ2" s="93" t="s">
        <v>26</v>
      </c>
      <c r="AR2" s="86" t="str">
        <f>CONCATENATE("Config - ", A2, ", UHF x UHF Link, ",I2,", ",P2, ", Ch EPC - ",U2,", DP IP port - ",V2,", Ch Card - ",W2,", Router - ",Z2,", CDU - ",AA2,", Sy EPC - ",AB2,", DP OP port - ",AC2,", Sy Card - ",AD2,", ",AM2)</f>
        <v>Config - 57, UHF x UHF Link, UHF LNA-1, UHF DA-1, Ch EPC - M, DP IP port - 1, Ch Card - M1, Router - M, CDU - M, Sy EPC - M, DP OP port - 2, Sy Card - M1, UHF 100 W SSPA-2</v>
      </c>
      <c r="AS2" s="115"/>
      <c r="AT2" s="115"/>
      <c r="AU2" s="115"/>
      <c r="AV2" s="115"/>
      <c r="AW2" s="115"/>
      <c r="AX2" s="115"/>
      <c r="AY2" s="115"/>
      <c r="AZ2" s="115"/>
      <c r="BA2" s="115"/>
    </row>
    <row r="3" spans="1:53" ht="45" x14ac:dyDescent="0.25">
      <c r="A3" s="92">
        <v>58</v>
      </c>
      <c r="B3" s="187">
        <v>58</v>
      </c>
      <c r="C3" s="85">
        <v>291.98203100000001</v>
      </c>
      <c r="D3" s="85">
        <v>249.29374999999999</v>
      </c>
      <c r="E3" s="115">
        <v>58</v>
      </c>
      <c r="F3" s="115" t="s">
        <v>253</v>
      </c>
      <c r="G3" s="110" t="s">
        <v>254</v>
      </c>
      <c r="H3" s="115" t="s">
        <v>83</v>
      </c>
      <c r="I3" s="115" t="s">
        <v>295</v>
      </c>
      <c r="J3" s="110" t="s">
        <v>256</v>
      </c>
      <c r="K3" s="115" t="s">
        <v>83</v>
      </c>
      <c r="L3" s="57" t="s">
        <v>258</v>
      </c>
      <c r="M3" s="115" t="s">
        <v>83</v>
      </c>
      <c r="N3" s="81" t="s">
        <v>302</v>
      </c>
      <c r="O3" s="81" t="s">
        <v>251</v>
      </c>
      <c r="P3" s="60" t="s">
        <v>296</v>
      </c>
      <c r="Q3" s="81" t="s">
        <v>311</v>
      </c>
      <c r="R3" s="81" t="s">
        <v>63</v>
      </c>
      <c r="S3" s="17" t="s">
        <v>331</v>
      </c>
      <c r="T3" s="81">
        <v>1</v>
      </c>
      <c r="U3" s="16" t="s">
        <v>120</v>
      </c>
      <c r="V3" s="81">
        <v>1</v>
      </c>
      <c r="W3" s="81" t="s">
        <v>209</v>
      </c>
      <c r="X3" s="81" t="s">
        <v>316</v>
      </c>
      <c r="Y3" s="81" t="s">
        <v>317</v>
      </c>
      <c r="Z3" s="16" t="s">
        <v>120</v>
      </c>
      <c r="AA3" s="16" t="s">
        <v>120</v>
      </c>
      <c r="AB3" s="16" t="s">
        <v>120</v>
      </c>
      <c r="AC3" s="56">
        <v>2</v>
      </c>
      <c r="AD3" s="126" t="s">
        <v>209</v>
      </c>
      <c r="AE3" s="126" t="s">
        <v>136</v>
      </c>
      <c r="AF3" s="126" t="s">
        <v>121</v>
      </c>
      <c r="AG3" s="55" t="s">
        <v>216</v>
      </c>
      <c r="AH3" s="56" t="s">
        <v>219</v>
      </c>
      <c r="AI3" s="56" t="s">
        <v>213</v>
      </c>
      <c r="AJ3" s="56" t="s">
        <v>83</v>
      </c>
      <c r="AK3" s="110" t="s">
        <v>243</v>
      </c>
      <c r="AL3" s="115" t="s">
        <v>250</v>
      </c>
      <c r="AM3" s="115" t="s">
        <v>239</v>
      </c>
      <c r="AN3" s="110" t="s">
        <v>247</v>
      </c>
      <c r="AO3" s="115" t="s">
        <v>250</v>
      </c>
      <c r="AP3" s="115" t="s">
        <v>208</v>
      </c>
      <c r="AQ3" s="93" t="s">
        <v>26</v>
      </c>
      <c r="AR3" s="86" t="str">
        <f t="shared" ref="AR3:AR22" si="0">CONCATENATE("Config - ", A3, ", UHF x UHF Link, ",I3,", ",P3, ", Ch EPC - ",U3,", DP IP port - ",V3,", Ch Card - ",W3,", Router - ",Z3,", CDU - ",AA3,", Sy EPC - ",AB3,", DP OP port - ",AC3,", Sy Card - ",AD3,", ",AM3)</f>
        <v>Config - 58, UHF x UHF Link, UHF LNA-1, UHF DA-1, Ch EPC - M, DP IP port - 1, Ch Card - M1, Router - M, CDU - M, Sy EPC - M, DP OP port - 2, Sy Card - M1, UHF 100 W SSPA-2</v>
      </c>
      <c r="AS3" s="115"/>
      <c r="AT3" s="115"/>
      <c r="AU3" s="115"/>
      <c r="AV3" s="115"/>
      <c r="AW3" s="115"/>
      <c r="AX3" s="115"/>
      <c r="AY3" s="115"/>
      <c r="AZ3" s="115"/>
      <c r="BA3" s="115"/>
    </row>
    <row r="4" spans="1:53" ht="45" x14ac:dyDescent="0.25">
      <c r="A4" s="129">
        <v>59</v>
      </c>
      <c r="B4" s="132">
        <v>59</v>
      </c>
      <c r="C4" s="85">
        <v>292.00234399999999</v>
      </c>
      <c r="D4" s="85">
        <v>249.31406200000001</v>
      </c>
      <c r="E4" s="115">
        <v>59</v>
      </c>
      <c r="F4" s="115" t="s">
        <v>253</v>
      </c>
      <c r="G4" s="110" t="s">
        <v>254</v>
      </c>
      <c r="H4" s="115" t="s">
        <v>83</v>
      </c>
      <c r="I4" s="115" t="s">
        <v>295</v>
      </c>
      <c r="J4" s="110" t="s">
        <v>256</v>
      </c>
      <c r="K4" s="115" t="s">
        <v>83</v>
      </c>
      <c r="L4" s="57" t="s">
        <v>258</v>
      </c>
      <c r="M4" s="115" t="s">
        <v>83</v>
      </c>
      <c r="N4" s="81" t="s">
        <v>302</v>
      </c>
      <c r="O4" s="81" t="s">
        <v>251</v>
      </c>
      <c r="P4" s="60" t="s">
        <v>296</v>
      </c>
      <c r="Q4" s="81" t="s">
        <v>311</v>
      </c>
      <c r="R4" s="81" t="s">
        <v>63</v>
      </c>
      <c r="S4" s="17" t="s">
        <v>331</v>
      </c>
      <c r="T4" s="81">
        <v>1</v>
      </c>
      <c r="U4" s="16" t="s">
        <v>120</v>
      </c>
      <c r="V4" s="81">
        <v>1</v>
      </c>
      <c r="W4" s="81" t="s">
        <v>209</v>
      </c>
      <c r="X4" s="81" t="s">
        <v>316</v>
      </c>
      <c r="Y4" s="81" t="s">
        <v>317</v>
      </c>
      <c r="Z4" s="16" t="s">
        <v>120</v>
      </c>
      <c r="AA4" s="16" t="s">
        <v>120</v>
      </c>
      <c r="AB4" s="16" t="s">
        <v>120</v>
      </c>
      <c r="AC4" s="56">
        <v>2</v>
      </c>
      <c r="AD4" s="126" t="s">
        <v>209</v>
      </c>
      <c r="AE4" s="126" t="s">
        <v>136</v>
      </c>
      <c r="AF4" s="126" t="s">
        <v>121</v>
      </c>
      <c r="AG4" s="55" t="s">
        <v>216</v>
      </c>
      <c r="AH4" s="56" t="s">
        <v>219</v>
      </c>
      <c r="AI4" s="56" t="s">
        <v>213</v>
      </c>
      <c r="AJ4" s="56" t="s">
        <v>83</v>
      </c>
      <c r="AK4" s="110" t="s">
        <v>243</v>
      </c>
      <c r="AL4" s="115" t="s">
        <v>250</v>
      </c>
      <c r="AM4" s="115" t="s">
        <v>239</v>
      </c>
      <c r="AN4" s="110" t="s">
        <v>247</v>
      </c>
      <c r="AO4" s="115" t="s">
        <v>250</v>
      </c>
      <c r="AP4" s="115" t="s">
        <v>208</v>
      </c>
      <c r="AQ4" s="93" t="s">
        <v>26</v>
      </c>
      <c r="AR4" s="86" t="str">
        <f t="shared" si="0"/>
        <v>Config - 59, UHF x UHF Link, UHF LNA-1, UHF DA-1, Ch EPC - M, DP IP port - 1, Ch Card - M1, Router - M, CDU - M, Sy EPC - M, DP OP port - 2, Sy Card - M1, UHF 100 W SSPA-2</v>
      </c>
      <c r="AS4" s="115"/>
      <c r="AT4" s="115"/>
      <c r="AU4" s="115"/>
      <c r="AV4" s="115"/>
      <c r="AW4" s="115"/>
      <c r="AX4" s="115"/>
      <c r="AY4" s="115"/>
      <c r="AZ4" s="115"/>
      <c r="BA4" s="115"/>
    </row>
    <row r="5" spans="1:53" ht="45" x14ac:dyDescent="0.25">
      <c r="A5" s="92">
        <v>60</v>
      </c>
      <c r="B5" s="187">
        <v>60</v>
      </c>
      <c r="C5" s="85">
        <v>292.02265599999998</v>
      </c>
      <c r="D5" s="85">
        <v>249.33437499999999</v>
      </c>
      <c r="E5" s="115">
        <v>60</v>
      </c>
      <c r="F5" s="115" t="s">
        <v>253</v>
      </c>
      <c r="G5" s="110" t="s">
        <v>254</v>
      </c>
      <c r="H5" s="115" t="s">
        <v>83</v>
      </c>
      <c r="I5" s="115" t="s">
        <v>295</v>
      </c>
      <c r="J5" s="110" t="s">
        <v>256</v>
      </c>
      <c r="K5" s="115" t="s">
        <v>83</v>
      </c>
      <c r="L5" s="57" t="s">
        <v>258</v>
      </c>
      <c r="M5" s="115" t="s">
        <v>83</v>
      </c>
      <c r="N5" s="81" t="s">
        <v>302</v>
      </c>
      <c r="O5" s="81" t="s">
        <v>251</v>
      </c>
      <c r="P5" s="60" t="s">
        <v>296</v>
      </c>
      <c r="Q5" s="81" t="s">
        <v>311</v>
      </c>
      <c r="R5" s="81" t="s">
        <v>63</v>
      </c>
      <c r="S5" s="17" t="s">
        <v>331</v>
      </c>
      <c r="T5" s="81">
        <v>1</v>
      </c>
      <c r="U5" s="16" t="s">
        <v>120</v>
      </c>
      <c r="V5" s="81">
        <v>1</v>
      </c>
      <c r="W5" s="81" t="s">
        <v>209</v>
      </c>
      <c r="X5" s="81" t="s">
        <v>316</v>
      </c>
      <c r="Y5" s="81" t="s">
        <v>317</v>
      </c>
      <c r="Z5" s="16" t="s">
        <v>120</v>
      </c>
      <c r="AA5" s="16" t="s">
        <v>120</v>
      </c>
      <c r="AB5" s="16" t="s">
        <v>120</v>
      </c>
      <c r="AC5" s="56">
        <v>2</v>
      </c>
      <c r="AD5" s="126" t="s">
        <v>209</v>
      </c>
      <c r="AE5" s="126" t="s">
        <v>136</v>
      </c>
      <c r="AF5" s="126" t="s">
        <v>121</v>
      </c>
      <c r="AG5" s="55" t="s">
        <v>216</v>
      </c>
      <c r="AH5" s="56" t="s">
        <v>219</v>
      </c>
      <c r="AI5" s="56" t="s">
        <v>213</v>
      </c>
      <c r="AJ5" s="56" t="s">
        <v>83</v>
      </c>
      <c r="AK5" s="110" t="s">
        <v>243</v>
      </c>
      <c r="AL5" s="115" t="s">
        <v>250</v>
      </c>
      <c r="AM5" s="115" t="s">
        <v>239</v>
      </c>
      <c r="AN5" s="110" t="s">
        <v>247</v>
      </c>
      <c r="AO5" s="115" t="s">
        <v>250</v>
      </c>
      <c r="AP5" s="115" t="s">
        <v>208</v>
      </c>
      <c r="AQ5" s="93" t="s">
        <v>26</v>
      </c>
      <c r="AR5" s="86" t="str">
        <f t="shared" si="0"/>
        <v>Config - 60, UHF x UHF Link, UHF LNA-1, UHF DA-1, Ch EPC - M, DP IP port - 1, Ch Card - M1, Router - M, CDU - M, Sy EPC - M, DP OP port - 2, Sy Card - M1, UHF 100 W SSPA-2</v>
      </c>
      <c r="AS5" s="115"/>
      <c r="AT5" s="115"/>
      <c r="AU5" s="115"/>
      <c r="AV5" s="115"/>
      <c r="AW5" s="115"/>
      <c r="AX5" s="115"/>
      <c r="AY5" s="115"/>
      <c r="AZ5" s="115"/>
      <c r="BA5" s="115"/>
    </row>
    <row r="6" spans="1:53" ht="45" x14ac:dyDescent="0.25">
      <c r="A6" s="92">
        <v>61</v>
      </c>
      <c r="B6" s="187">
        <v>61</v>
      </c>
      <c r="C6" s="85">
        <v>292.04296900000003</v>
      </c>
      <c r="D6" s="85">
        <v>249.35468700000001</v>
      </c>
      <c r="E6" s="115">
        <v>61</v>
      </c>
      <c r="F6" s="115" t="s">
        <v>253</v>
      </c>
      <c r="G6" s="110" t="s">
        <v>254</v>
      </c>
      <c r="H6" s="115" t="s">
        <v>83</v>
      </c>
      <c r="I6" s="115" t="s">
        <v>295</v>
      </c>
      <c r="J6" s="110" t="s">
        <v>256</v>
      </c>
      <c r="K6" s="115" t="s">
        <v>83</v>
      </c>
      <c r="L6" s="57" t="s">
        <v>258</v>
      </c>
      <c r="M6" s="115" t="s">
        <v>83</v>
      </c>
      <c r="N6" s="81" t="s">
        <v>302</v>
      </c>
      <c r="O6" s="81" t="s">
        <v>251</v>
      </c>
      <c r="P6" s="60" t="s">
        <v>296</v>
      </c>
      <c r="Q6" s="81" t="s">
        <v>311</v>
      </c>
      <c r="R6" s="81" t="s">
        <v>63</v>
      </c>
      <c r="S6" s="17" t="s">
        <v>331</v>
      </c>
      <c r="T6" s="81">
        <v>1</v>
      </c>
      <c r="U6" s="16" t="s">
        <v>120</v>
      </c>
      <c r="V6" s="81">
        <v>1</v>
      </c>
      <c r="W6" s="81" t="s">
        <v>209</v>
      </c>
      <c r="X6" s="81" t="s">
        <v>316</v>
      </c>
      <c r="Y6" s="81" t="s">
        <v>317</v>
      </c>
      <c r="Z6" s="16" t="s">
        <v>120</v>
      </c>
      <c r="AA6" s="16" t="s">
        <v>120</v>
      </c>
      <c r="AB6" s="16" t="s">
        <v>120</v>
      </c>
      <c r="AC6" s="56">
        <v>2</v>
      </c>
      <c r="AD6" s="126" t="s">
        <v>209</v>
      </c>
      <c r="AE6" s="126" t="s">
        <v>136</v>
      </c>
      <c r="AF6" s="126" t="s">
        <v>121</v>
      </c>
      <c r="AG6" s="55" t="s">
        <v>216</v>
      </c>
      <c r="AH6" s="56" t="s">
        <v>219</v>
      </c>
      <c r="AI6" s="56" t="s">
        <v>213</v>
      </c>
      <c r="AJ6" s="56" t="s">
        <v>83</v>
      </c>
      <c r="AK6" s="110" t="s">
        <v>243</v>
      </c>
      <c r="AL6" s="115" t="s">
        <v>250</v>
      </c>
      <c r="AM6" s="115" t="s">
        <v>239</v>
      </c>
      <c r="AN6" s="110" t="s">
        <v>247</v>
      </c>
      <c r="AO6" s="115" t="s">
        <v>250</v>
      </c>
      <c r="AP6" s="115" t="s">
        <v>208</v>
      </c>
      <c r="AQ6" s="93" t="s">
        <v>26</v>
      </c>
      <c r="AR6" s="86" t="str">
        <f t="shared" si="0"/>
        <v>Config - 61, UHF x UHF Link, UHF LNA-1, UHF DA-1, Ch EPC - M, DP IP port - 1, Ch Card - M1, Router - M, CDU - M, Sy EPC - M, DP OP port - 2, Sy Card - M1, UHF 100 W SSPA-2</v>
      </c>
      <c r="AS6" s="115"/>
      <c r="AT6" s="115"/>
      <c r="AU6" s="115"/>
      <c r="AV6" s="115"/>
      <c r="AW6" s="115"/>
      <c r="AX6" s="115"/>
      <c r="AY6" s="115"/>
      <c r="AZ6" s="115"/>
      <c r="BA6" s="115"/>
    </row>
    <row r="7" spans="1:53" ht="45" x14ac:dyDescent="0.25">
      <c r="A7" s="92">
        <v>62</v>
      </c>
      <c r="B7" s="187">
        <v>62</v>
      </c>
      <c r="C7" s="78">
        <v>294.86640599999998</v>
      </c>
      <c r="D7" s="78">
        <v>249.273438</v>
      </c>
      <c r="E7" s="115">
        <v>62</v>
      </c>
      <c r="F7" s="115" t="s">
        <v>253</v>
      </c>
      <c r="G7" s="110" t="s">
        <v>254</v>
      </c>
      <c r="H7" s="115" t="s">
        <v>83</v>
      </c>
      <c r="I7" s="115" t="s">
        <v>295</v>
      </c>
      <c r="J7" s="110" t="s">
        <v>256</v>
      </c>
      <c r="K7" s="115" t="s">
        <v>83</v>
      </c>
      <c r="L7" s="57" t="s">
        <v>258</v>
      </c>
      <c r="M7" s="115" t="s">
        <v>83</v>
      </c>
      <c r="N7" s="81" t="s">
        <v>302</v>
      </c>
      <c r="O7" s="81" t="s">
        <v>251</v>
      </c>
      <c r="P7" s="60" t="s">
        <v>296</v>
      </c>
      <c r="Q7" s="81" t="s">
        <v>311</v>
      </c>
      <c r="R7" s="81" t="s">
        <v>63</v>
      </c>
      <c r="S7" s="17" t="s">
        <v>331</v>
      </c>
      <c r="T7" s="81">
        <v>2</v>
      </c>
      <c r="U7" s="16" t="s">
        <v>120</v>
      </c>
      <c r="V7" s="81">
        <v>1</v>
      </c>
      <c r="W7" s="81" t="s">
        <v>209</v>
      </c>
      <c r="X7" s="81" t="s">
        <v>316</v>
      </c>
      <c r="Y7" s="81" t="s">
        <v>317</v>
      </c>
      <c r="Z7" s="16" t="s">
        <v>120</v>
      </c>
      <c r="AA7" s="16" t="s">
        <v>120</v>
      </c>
      <c r="AB7" s="16" t="s">
        <v>120</v>
      </c>
      <c r="AC7" s="56">
        <v>2</v>
      </c>
      <c r="AD7" s="126" t="s">
        <v>209</v>
      </c>
      <c r="AE7" s="126" t="s">
        <v>136</v>
      </c>
      <c r="AF7" s="126" t="s">
        <v>121</v>
      </c>
      <c r="AG7" s="55" t="s">
        <v>216</v>
      </c>
      <c r="AH7" s="56" t="s">
        <v>219</v>
      </c>
      <c r="AI7" s="56" t="s">
        <v>213</v>
      </c>
      <c r="AJ7" s="56" t="s">
        <v>83</v>
      </c>
      <c r="AK7" s="110" t="s">
        <v>243</v>
      </c>
      <c r="AL7" s="115" t="s">
        <v>250</v>
      </c>
      <c r="AM7" s="115" t="s">
        <v>239</v>
      </c>
      <c r="AN7" s="110" t="s">
        <v>247</v>
      </c>
      <c r="AO7" s="115" t="s">
        <v>250</v>
      </c>
      <c r="AP7" s="115" t="s">
        <v>208</v>
      </c>
      <c r="AQ7" s="93" t="s">
        <v>26</v>
      </c>
      <c r="AR7" s="86" t="str">
        <f t="shared" si="0"/>
        <v>Config - 62, UHF x UHF Link, UHF LNA-1, UHF DA-1, Ch EPC - M, DP IP port - 1, Ch Card - M1, Router - M, CDU - M, Sy EPC - M, DP OP port - 2, Sy Card - M1, UHF 100 W SSPA-2</v>
      </c>
      <c r="AS7" s="115"/>
      <c r="AT7" s="115"/>
      <c r="AU7" s="115"/>
      <c r="AV7" s="115"/>
      <c r="AW7" s="115"/>
      <c r="AX7" s="115"/>
      <c r="AY7" s="115"/>
      <c r="AZ7" s="115"/>
      <c r="BA7" s="115"/>
    </row>
    <row r="8" spans="1:53" ht="45" x14ac:dyDescent="0.25">
      <c r="A8" s="92">
        <v>63</v>
      </c>
      <c r="B8" s="187">
        <v>63</v>
      </c>
      <c r="C8" s="78">
        <v>294.88671900000003</v>
      </c>
      <c r="D8" s="78">
        <v>249.29374999999999</v>
      </c>
      <c r="E8" s="115">
        <v>63</v>
      </c>
      <c r="F8" s="115" t="s">
        <v>253</v>
      </c>
      <c r="G8" s="110" t="s">
        <v>254</v>
      </c>
      <c r="H8" s="115" t="s">
        <v>83</v>
      </c>
      <c r="I8" s="115" t="s">
        <v>295</v>
      </c>
      <c r="J8" s="110" t="s">
        <v>256</v>
      </c>
      <c r="K8" s="115" t="s">
        <v>83</v>
      </c>
      <c r="L8" s="57" t="s">
        <v>258</v>
      </c>
      <c r="M8" s="115" t="s">
        <v>83</v>
      </c>
      <c r="N8" s="81" t="s">
        <v>302</v>
      </c>
      <c r="O8" s="81" t="s">
        <v>251</v>
      </c>
      <c r="P8" s="60" t="s">
        <v>296</v>
      </c>
      <c r="Q8" s="81" t="s">
        <v>311</v>
      </c>
      <c r="R8" s="81" t="s">
        <v>63</v>
      </c>
      <c r="S8" s="17" t="s">
        <v>331</v>
      </c>
      <c r="T8" s="81">
        <v>2</v>
      </c>
      <c r="U8" s="16" t="s">
        <v>120</v>
      </c>
      <c r="V8" s="81">
        <v>1</v>
      </c>
      <c r="W8" s="81" t="s">
        <v>209</v>
      </c>
      <c r="X8" s="81" t="s">
        <v>316</v>
      </c>
      <c r="Y8" s="81" t="s">
        <v>317</v>
      </c>
      <c r="Z8" s="16" t="s">
        <v>120</v>
      </c>
      <c r="AA8" s="16" t="s">
        <v>120</v>
      </c>
      <c r="AB8" s="16" t="s">
        <v>120</v>
      </c>
      <c r="AC8" s="56">
        <v>2</v>
      </c>
      <c r="AD8" s="126" t="s">
        <v>209</v>
      </c>
      <c r="AE8" s="126" t="s">
        <v>136</v>
      </c>
      <c r="AF8" s="126" t="s">
        <v>121</v>
      </c>
      <c r="AG8" s="55" t="s">
        <v>216</v>
      </c>
      <c r="AH8" s="56" t="s">
        <v>219</v>
      </c>
      <c r="AI8" s="56" t="s">
        <v>213</v>
      </c>
      <c r="AJ8" s="56" t="s">
        <v>83</v>
      </c>
      <c r="AK8" s="110" t="s">
        <v>243</v>
      </c>
      <c r="AL8" s="115" t="s">
        <v>250</v>
      </c>
      <c r="AM8" s="115" t="s">
        <v>239</v>
      </c>
      <c r="AN8" s="110" t="s">
        <v>247</v>
      </c>
      <c r="AO8" s="115" t="s">
        <v>250</v>
      </c>
      <c r="AP8" s="115" t="s">
        <v>208</v>
      </c>
      <c r="AQ8" s="93" t="s">
        <v>26</v>
      </c>
      <c r="AR8" s="86" t="str">
        <f t="shared" si="0"/>
        <v>Config - 63, UHF x UHF Link, UHF LNA-1, UHF DA-1, Ch EPC - M, DP IP port - 1, Ch Card - M1, Router - M, CDU - M, Sy EPC - M, DP OP port - 2, Sy Card - M1, UHF 100 W SSPA-2</v>
      </c>
      <c r="AS8" s="115"/>
      <c r="AT8" s="115"/>
      <c r="AU8" s="115"/>
      <c r="AV8" s="115"/>
      <c r="AW8" s="115"/>
      <c r="AX8" s="115"/>
      <c r="AY8" s="115"/>
      <c r="AZ8" s="115"/>
      <c r="BA8" s="115"/>
    </row>
    <row r="9" spans="1:53" ht="45" x14ac:dyDescent="0.25">
      <c r="A9" s="129">
        <v>64</v>
      </c>
      <c r="B9" s="132">
        <v>64</v>
      </c>
      <c r="C9" s="78">
        <v>294.90703100000002</v>
      </c>
      <c r="D9" s="78">
        <v>249.31406200000001</v>
      </c>
      <c r="E9" s="115">
        <v>64</v>
      </c>
      <c r="F9" s="115" t="s">
        <v>253</v>
      </c>
      <c r="G9" s="110" t="s">
        <v>254</v>
      </c>
      <c r="H9" s="115" t="s">
        <v>83</v>
      </c>
      <c r="I9" s="115" t="s">
        <v>295</v>
      </c>
      <c r="J9" s="110" t="s">
        <v>256</v>
      </c>
      <c r="K9" s="115" t="s">
        <v>83</v>
      </c>
      <c r="L9" s="57" t="s">
        <v>258</v>
      </c>
      <c r="M9" s="115" t="s">
        <v>83</v>
      </c>
      <c r="N9" s="81" t="s">
        <v>302</v>
      </c>
      <c r="O9" s="81" t="s">
        <v>251</v>
      </c>
      <c r="P9" s="60" t="s">
        <v>296</v>
      </c>
      <c r="Q9" s="81" t="s">
        <v>311</v>
      </c>
      <c r="R9" s="81" t="s">
        <v>63</v>
      </c>
      <c r="S9" s="17" t="s">
        <v>331</v>
      </c>
      <c r="T9" s="81">
        <v>2</v>
      </c>
      <c r="U9" s="16" t="s">
        <v>120</v>
      </c>
      <c r="V9" s="81">
        <v>1</v>
      </c>
      <c r="W9" s="81" t="s">
        <v>209</v>
      </c>
      <c r="X9" s="81" t="s">
        <v>316</v>
      </c>
      <c r="Y9" s="81" t="s">
        <v>317</v>
      </c>
      <c r="Z9" s="16" t="s">
        <v>120</v>
      </c>
      <c r="AA9" s="16" t="s">
        <v>120</v>
      </c>
      <c r="AB9" s="16" t="s">
        <v>120</v>
      </c>
      <c r="AC9" s="56">
        <v>2</v>
      </c>
      <c r="AD9" s="126" t="s">
        <v>209</v>
      </c>
      <c r="AE9" s="126" t="s">
        <v>136</v>
      </c>
      <c r="AF9" s="126" t="s">
        <v>121</v>
      </c>
      <c r="AG9" s="55" t="s">
        <v>216</v>
      </c>
      <c r="AH9" s="56" t="s">
        <v>219</v>
      </c>
      <c r="AI9" s="56" t="s">
        <v>213</v>
      </c>
      <c r="AJ9" s="56" t="s">
        <v>83</v>
      </c>
      <c r="AK9" s="110" t="s">
        <v>243</v>
      </c>
      <c r="AL9" s="115" t="s">
        <v>250</v>
      </c>
      <c r="AM9" s="115" t="s">
        <v>239</v>
      </c>
      <c r="AN9" s="110" t="s">
        <v>247</v>
      </c>
      <c r="AO9" s="115" t="s">
        <v>250</v>
      </c>
      <c r="AP9" s="115" t="s">
        <v>208</v>
      </c>
      <c r="AQ9" s="93" t="s">
        <v>26</v>
      </c>
      <c r="AR9" s="86" t="str">
        <f t="shared" si="0"/>
        <v>Config - 64, UHF x UHF Link, UHF LNA-1, UHF DA-1, Ch EPC - M, DP IP port - 1, Ch Card - M1, Router - M, CDU - M, Sy EPC - M, DP OP port - 2, Sy Card - M1, UHF 100 W SSPA-2</v>
      </c>
      <c r="AS9" s="115"/>
      <c r="AT9" s="115"/>
      <c r="AU9" s="115"/>
      <c r="AV9" s="115"/>
      <c r="AW9" s="115"/>
      <c r="AX9" s="115"/>
      <c r="AY9" s="115"/>
      <c r="AZ9" s="115"/>
      <c r="BA9" s="115"/>
    </row>
    <row r="10" spans="1:53" ht="45" x14ac:dyDescent="0.25">
      <c r="A10" s="92">
        <v>65</v>
      </c>
      <c r="B10" s="187">
        <v>65</v>
      </c>
      <c r="C10" s="78">
        <v>294.92734400000001</v>
      </c>
      <c r="D10" s="78">
        <v>249.33437499999999</v>
      </c>
      <c r="E10" s="115">
        <v>65</v>
      </c>
      <c r="F10" s="115" t="s">
        <v>253</v>
      </c>
      <c r="G10" s="110" t="s">
        <v>254</v>
      </c>
      <c r="H10" s="115" t="s">
        <v>83</v>
      </c>
      <c r="I10" s="115" t="s">
        <v>295</v>
      </c>
      <c r="J10" s="110" t="s">
        <v>256</v>
      </c>
      <c r="K10" s="115" t="s">
        <v>83</v>
      </c>
      <c r="L10" s="57" t="s">
        <v>258</v>
      </c>
      <c r="M10" s="115" t="s">
        <v>83</v>
      </c>
      <c r="N10" s="81" t="s">
        <v>302</v>
      </c>
      <c r="O10" s="81" t="s">
        <v>251</v>
      </c>
      <c r="P10" s="60" t="s">
        <v>296</v>
      </c>
      <c r="Q10" s="81" t="s">
        <v>311</v>
      </c>
      <c r="R10" s="81" t="s">
        <v>63</v>
      </c>
      <c r="S10" s="17" t="s">
        <v>331</v>
      </c>
      <c r="T10" s="81">
        <v>2</v>
      </c>
      <c r="U10" s="16" t="s">
        <v>120</v>
      </c>
      <c r="V10" s="81">
        <v>1</v>
      </c>
      <c r="W10" s="81" t="s">
        <v>209</v>
      </c>
      <c r="X10" s="81" t="s">
        <v>316</v>
      </c>
      <c r="Y10" s="81" t="s">
        <v>317</v>
      </c>
      <c r="Z10" s="16" t="s">
        <v>120</v>
      </c>
      <c r="AA10" s="16" t="s">
        <v>120</v>
      </c>
      <c r="AB10" s="16" t="s">
        <v>120</v>
      </c>
      <c r="AC10" s="56">
        <v>2</v>
      </c>
      <c r="AD10" s="126" t="s">
        <v>209</v>
      </c>
      <c r="AE10" s="126" t="s">
        <v>136</v>
      </c>
      <c r="AF10" s="126" t="s">
        <v>121</v>
      </c>
      <c r="AG10" s="55" t="s">
        <v>216</v>
      </c>
      <c r="AH10" s="56" t="s">
        <v>219</v>
      </c>
      <c r="AI10" s="56" t="s">
        <v>213</v>
      </c>
      <c r="AJ10" s="56" t="s">
        <v>83</v>
      </c>
      <c r="AK10" s="110" t="s">
        <v>243</v>
      </c>
      <c r="AL10" s="115" t="s">
        <v>250</v>
      </c>
      <c r="AM10" s="115" t="s">
        <v>239</v>
      </c>
      <c r="AN10" s="110" t="s">
        <v>247</v>
      </c>
      <c r="AO10" s="115" t="s">
        <v>250</v>
      </c>
      <c r="AP10" s="115" t="s">
        <v>208</v>
      </c>
      <c r="AQ10" s="93" t="s">
        <v>26</v>
      </c>
      <c r="AR10" s="86" t="str">
        <f t="shared" si="0"/>
        <v>Config - 65, UHF x UHF Link, UHF LNA-1, UHF DA-1, Ch EPC - M, DP IP port - 1, Ch Card - M1, Router - M, CDU - M, Sy EPC - M, DP OP port - 2, Sy Card - M1, UHF 100 W SSPA-2</v>
      </c>
      <c r="AS10" s="115"/>
      <c r="AT10" s="115"/>
      <c r="AU10" s="115"/>
      <c r="AV10" s="115"/>
      <c r="AW10" s="115"/>
      <c r="AX10" s="115"/>
      <c r="AY10" s="115"/>
      <c r="AZ10" s="115"/>
      <c r="BA10" s="115"/>
    </row>
    <row r="11" spans="1:53" ht="45" x14ac:dyDescent="0.25">
      <c r="A11" s="92">
        <v>66</v>
      </c>
      <c r="B11" s="187">
        <v>66</v>
      </c>
      <c r="C11" s="78">
        <v>294.94765599999999</v>
      </c>
      <c r="D11" s="78">
        <v>249.35468700000001</v>
      </c>
      <c r="E11" s="115">
        <v>66</v>
      </c>
      <c r="F11" s="115" t="s">
        <v>253</v>
      </c>
      <c r="G11" s="110" t="s">
        <v>254</v>
      </c>
      <c r="H11" s="115" t="s">
        <v>83</v>
      </c>
      <c r="I11" s="115" t="s">
        <v>295</v>
      </c>
      <c r="J11" s="110" t="s">
        <v>256</v>
      </c>
      <c r="K11" s="115" t="s">
        <v>83</v>
      </c>
      <c r="L11" s="57" t="s">
        <v>258</v>
      </c>
      <c r="M11" s="115" t="s">
        <v>83</v>
      </c>
      <c r="N11" s="81" t="s">
        <v>302</v>
      </c>
      <c r="O11" s="81" t="s">
        <v>251</v>
      </c>
      <c r="P11" s="60" t="s">
        <v>296</v>
      </c>
      <c r="Q11" s="81" t="s">
        <v>311</v>
      </c>
      <c r="R11" s="81" t="s">
        <v>63</v>
      </c>
      <c r="S11" s="17" t="s">
        <v>331</v>
      </c>
      <c r="T11" s="81">
        <v>2</v>
      </c>
      <c r="U11" s="16" t="s">
        <v>120</v>
      </c>
      <c r="V11" s="81">
        <v>1</v>
      </c>
      <c r="W11" s="81" t="s">
        <v>209</v>
      </c>
      <c r="X11" s="81" t="s">
        <v>316</v>
      </c>
      <c r="Y11" s="81" t="s">
        <v>317</v>
      </c>
      <c r="Z11" s="16" t="s">
        <v>120</v>
      </c>
      <c r="AA11" s="16" t="s">
        <v>120</v>
      </c>
      <c r="AB11" s="16" t="s">
        <v>120</v>
      </c>
      <c r="AC11" s="56">
        <v>2</v>
      </c>
      <c r="AD11" s="126" t="s">
        <v>209</v>
      </c>
      <c r="AE11" s="126" t="s">
        <v>136</v>
      </c>
      <c r="AF11" s="126" t="s">
        <v>121</v>
      </c>
      <c r="AG11" s="55" t="s">
        <v>216</v>
      </c>
      <c r="AH11" s="56" t="s">
        <v>219</v>
      </c>
      <c r="AI11" s="56" t="s">
        <v>213</v>
      </c>
      <c r="AJ11" s="56" t="s">
        <v>83</v>
      </c>
      <c r="AK11" s="110" t="s">
        <v>243</v>
      </c>
      <c r="AL11" s="115" t="s">
        <v>250</v>
      </c>
      <c r="AM11" s="115" t="s">
        <v>239</v>
      </c>
      <c r="AN11" s="110" t="s">
        <v>247</v>
      </c>
      <c r="AO11" s="115" t="s">
        <v>250</v>
      </c>
      <c r="AP11" s="115" t="s">
        <v>208</v>
      </c>
      <c r="AQ11" s="93" t="s">
        <v>26</v>
      </c>
      <c r="AR11" s="86" t="str">
        <f t="shared" si="0"/>
        <v>Config - 66, UHF x UHF Link, UHF LNA-1, UHF DA-1, Ch EPC - M, DP IP port - 1, Ch Card - M1, Router - M, CDU - M, Sy EPC - M, DP OP port - 2, Sy Card - M1, UHF 100 W SSPA-2</v>
      </c>
      <c r="AS11" s="115"/>
      <c r="AT11" s="115"/>
      <c r="AU11" s="115"/>
      <c r="AV11" s="115"/>
      <c r="AW11" s="115"/>
      <c r="AX11" s="115"/>
      <c r="AY11" s="115"/>
      <c r="AZ11" s="115"/>
      <c r="BA11" s="115"/>
    </row>
    <row r="12" spans="1:53" ht="45" x14ac:dyDescent="0.25">
      <c r="A12" s="92">
        <v>67</v>
      </c>
      <c r="B12" s="187">
        <v>67</v>
      </c>
      <c r="C12" s="79">
        <v>302.87578100000002</v>
      </c>
      <c r="D12" s="79">
        <v>249.273438</v>
      </c>
      <c r="E12" s="115">
        <v>67</v>
      </c>
      <c r="F12" s="115" t="s">
        <v>253</v>
      </c>
      <c r="G12" s="110" t="s">
        <v>254</v>
      </c>
      <c r="H12" s="115" t="s">
        <v>83</v>
      </c>
      <c r="I12" s="115" t="s">
        <v>295</v>
      </c>
      <c r="J12" s="110" t="s">
        <v>256</v>
      </c>
      <c r="K12" s="115" t="s">
        <v>83</v>
      </c>
      <c r="L12" s="57" t="s">
        <v>258</v>
      </c>
      <c r="M12" s="115" t="s">
        <v>83</v>
      </c>
      <c r="N12" s="81" t="s">
        <v>305</v>
      </c>
      <c r="O12" s="81" t="s">
        <v>63</v>
      </c>
      <c r="P12" s="60" t="s">
        <v>298</v>
      </c>
      <c r="Q12" s="81" t="s">
        <v>309</v>
      </c>
      <c r="R12" s="81" t="s">
        <v>63</v>
      </c>
      <c r="S12" s="17" t="s">
        <v>331</v>
      </c>
      <c r="T12" s="81">
        <v>3</v>
      </c>
      <c r="U12" s="16" t="s">
        <v>120</v>
      </c>
      <c r="V12" s="81">
        <v>3</v>
      </c>
      <c r="W12" s="81" t="s">
        <v>137</v>
      </c>
      <c r="X12" s="81" t="s">
        <v>316</v>
      </c>
      <c r="Y12" s="81" t="s">
        <v>317</v>
      </c>
      <c r="Z12" s="16" t="s">
        <v>120</v>
      </c>
      <c r="AA12" s="16" t="s">
        <v>120</v>
      </c>
      <c r="AB12" s="16" t="s">
        <v>120</v>
      </c>
      <c r="AC12" s="56">
        <v>2</v>
      </c>
      <c r="AD12" s="126" t="s">
        <v>209</v>
      </c>
      <c r="AE12" s="126" t="s">
        <v>136</v>
      </c>
      <c r="AF12" s="126" t="s">
        <v>121</v>
      </c>
      <c r="AG12" s="55" t="s">
        <v>216</v>
      </c>
      <c r="AH12" s="56" t="s">
        <v>219</v>
      </c>
      <c r="AI12" s="56" t="s">
        <v>213</v>
      </c>
      <c r="AJ12" s="56" t="s">
        <v>83</v>
      </c>
      <c r="AK12" s="110" t="s">
        <v>243</v>
      </c>
      <c r="AL12" s="115" t="s">
        <v>250</v>
      </c>
      <c r="AM12" s="115" t="s">
        <v>239</v>
      </c>
      <c r="AN12" s="110" t="s">
        <v>247</v>
      </c>
      <c r="AO12" s="115" t="s">
        <v>250</v>
      </c>
      <c r="AP12" s="115" t="s">
        <v>208</v>
      </c>
      <c r="AQ12" s="93" t="s">
        <v>26</v>
      </c>
      <c r="AR12" s="86" t="str">
        <f t="shared" si="0"/>
        <v>Config - 67, UHF x UHF Link, UHF LNA-1, UHF DA-3, Ch EPC - M, DP IP port - 3, Ch Card - M2, Router - M, CDU - M, Sy EPC - M, DP OP port - 2, Sy Card - M1, UHF 100 W SSPA-2</v>
      </c>
      <c r="AS12" s="115"/>
      <c r="AT12" s="115"/>
      <c r="AU12" s="115"/>
      <c r="AV12" s="115"/>
      <c r="AW12" s="115"/>
      <c r="AX12" s="115"/>
      <c r="AY12" s="115"/>
      <c r="AZ12" s="115"/>
      <c r="BA12" s="115"/>
    </row>
    <row r="13" spans="1:53" ht="45" x14ac:dyDescent="0.25">
      <c r="A13" s="92">
        <v>68</v>
      </c>
      <c r="B13" s="187">
        <v>68</v>
      </c>
      <c r="C13" s="79">
        <v>302.89609400000001</v>
      </c>
      <c r="D13" s="79">
        <v>249.29374999999999</v>
      </c>
      <c r="E13" s="115">
        <v>68</v>
      </c>
      <c r="F13" s="115" t="s">
        <v>253</v>
      </c>
      <c r="G13" s="110" t="s">
        <v>254</v>
      </c>
      <c r="H13" s="115" t="s">
        <v>83</v>
      </c>
      <c r="I13" s="115" t="s">
        <v>295</v>
      </c>
      <c r="J13" s="110" t="s">
        <v>256</v>
      </c>
      <c r="K13" s="115" t="s">
        <v>83</v>
      </c>
      <c r="L13" s="57" t="s">
        <v>258</v>
      </c>
      <c r="M13" s="115" t="s">
        <v>83</v>
      </c>
      <c r="N13" s="81" t="s">
        <v>305</v>
      </c>
      <c r="O13" s="81" t="s">
        <v>63</v>
      </c>
      <c r="P13" s="60" t="s">
        <v>298</v>
      </c>
      <c r="Q13" s="81" t="s">
        <v>309</v>
      </c>
      <c r="R13" s="81" t="s">
        <v>63</v>
      </c>
      <c r="S13" s="17" t="s">
        <v>331</v>
      </c>
      <c r="T13" s="81">
        <v>3</v>
      </c>
      <c r="U13" s="16" t="s">
        <v>120</v>
      </c>
      <c r="V13" s="81">
        <v>3</v>
      </c>
      <c r="W13" s="81" t="s">
        <v>137</v>
      </c>
      <c r="X13" s="81" t="s">
        <v>316</v>
      </c>
      <c r="Y13" s="81" t="s">
        <v>317</v>
      </c>
      <c r="Z13" s="16" t="s">
        <v>120</v>
      </c>
      <c r="AA13" s="16" t="s">
        <v>120</v>
      </c>
      <c r="AB13" s="16" t="s">
        <v>120</v>
      </c>
      <c r="AC13" s="56">
        <v>2</v>
      </c>
      <c r="AD13" s="126" t="s">
        <v>209</v>
      </c>
      <c r="AE13" s="126" t="s">
        <v>136</v>
      </c>
      <c r="AF13" s="126" t="s">
        <v>121</v>
      </c>
      <c r="AG13" s="55" t="s">
        <v>216</v>
      </c>
      <c r="AH13" s="56" t="s">
        <v>219</v>
      </c>
      <c r="AI13" s="56" t="s">
        <v>213</v>
      </c>
      <c r="AJ13" s="56" t="s">
        <v>83</v>
      </c>
      <c r="AK13" s="110" t="s">
        <v>243</v>
      </c>
      <c r="AL13" s="115" t="s">
        <v>250</v>
      </c>
      <c r="AM13" s="115" t="s">
        <v>239</v>
      </c>
      <c r="AN13" s="110" t="s">
        <v>247</v>
      </c>
      <c r="AO13" s="115" t="s">
        <v>250</v>
      </c>
      <c r="AP13" s="115" t="s">
        <v>208</v>
      </c>
      <c r="AQ13" s="93" t="s">
        <v>26</v>
      </c>
      <c r="AR13" s="86" t="str">
        <f t="shared" si="0"/>
        <v>Config - 68, UHF x UHF Link, UHF LNA-1, UHF DA-3, Ch EPC - M, DP IP port - 3, Ch Card - M2, Router - M, CDU - M, Sy EPC - M, DP OP port - 2, Sy Card - M1, UHF 100 W SSPA-2</v>
      </c>
      <c r="AS13" s="115"/>
      <c r="AT13" s="115"/>
      <c r="AU13" s="115"/>
      <c r="AV13" s="115"/>
      <c r="AW13" s="115"/>
      <c r="AX13" s="115"/>
      <c r="AY13" s="115"/>
      <c r="AZ13" s="115"/>
      <c r="BA13" s="115"/>
    </row>
    <row r="14" spans="1:53" ht="45" x14ac:dyDescent="0.25">
      <c r="A14" s="129">
        <v>69</v>
      </c>
      <c r="B14" s="132">
        <v>69</v>
      </c>
      <c r="C14" s="79">
        <v>302.91640599999999</v>
      </c>
      <c r="D14" s="79">
        <v>249.31406200000001</v>
      </c>
      <c r="E14" s="115">
        <v>69</v>
      </c>
      <c r="F14" s="115" t="s">
        <v>253</v>
      </c>
      <c r="G14" s="110" t="s">
        <v>254</v>
      </c>
      <c r="H14" s="115" t="s">
        <v>83</v>
      </c>
      <c r="I14" s="115" t="s">
        <v>295</v>
      </c>
      <c r="J14" s="110" t="s">
        <v>256</v>
      </c>
      <c r="K14" s="115" t="s">
        <v>83</v>
      </c>
      <c r="L14" s="57" t="s">
        <v>258</v>
      </c>
      <c r="M14" s="115" t="s">
        <v>83</v>
      </c>
      <c r="N14" s="81" t="s">
        <v>305</v>
      </c>
      <c r="O14" s="81" t="s">
        <v>63</v>
      </c>
      <c r="P14" s="60" t="s">
        <v>298</v>
      </c>
      <c r="Q14" s="81" t="s">
        <v>309</v>
      </c>
      <c r="R14" s="81" t="s">
        <v>63</v>
      </c>
      <c r="S14" s="17" t="s">
        <v>331</v>
      </c>
      <c r="T14" s="81">
        <v>3</v>
      </c>
      <c r="U14" s="16" t="s">
        <v>120</v>
      </c>
      <c r="V14" s="81">
        <v>3</v>
      </c>
      <c r="W14" s="81" t="s">
        <v>137</v>
      </c>
      <c r="X14" s="81" t="s">
        <v>316</v>
      </c>
      <c r="Y14" s="81" t="s">
        <v>317</v>
      </c>
      <c r="Z14" s="16" t="s">
        <v>120</v>
      </c>
      <c r="AA14" s="16" t="s">
        <v>120</v>
      </c>
      <c r="AB14" s="16" t="s">
        <v>120</v>
      </c>
      <c r="AC14" s="56">
        <v>2</v>
      </c>
      <c r="AD14" s="126" t="s">
        <v>209</v>
      </c>
      <c r="AE14" s="126" t="s">
        <v>136</v>
      </c>
      <c r="AF14" s="126" t="s">
        <v>121</v>
      </c>
      <c r="AG14" s="55" t="s">
        <v>216</v>
      </c>
      <c r="AH14" s="56" t="s">
        <v>219</v>
      </c>
      <c r="AI14" s="56" t="s">
        <v>213</v>
      </c>
      <c r="AJ14" s="56" t="s">
        <v>83</v>
      </c>
      <c r="AK14" s="110" t="s">
        <v>243</v>
      </c>
      <c r="AL14" s="115" t="s">
        <v>250</v>
      </c>
      <c r="AM14" s="115" t="s">
        <v>239</v>
      </c>
      <c r="AN14" s="110" t="s">
        <v>247</v>
      </c>
      <c r="AO14" s="115" t="s">
        <v>250</v>
      </c>
      <c r="AP14" s="115" t="s">
        <v>208</v>
      </c>
      <c r="AQ14" s="93" t="s">
        <v>26</v>
      </c>
      <c r="AR14" s="86" t="str">
        <f t="shared" si="0"/>
        <v>Config - 69, UHF x UHF Link, UHF LNA-1, UHF DA-3, Ch EPC - M, DP IP port - 3, Ch Card - M2, Router - M, CDU - M, Sy EPC - M, DP OP port - 2, Sy Card - M1, UHF 100 W SSPA-2</v>
      </c>
      <c r="AS14" s="115"/>
      <c r="AT14" s="115"/>
      <c r="AU14" s="115"/>
      <c r="AV14" s="115"/>
      <c r="AW14" s="115"/>
      <c r="AX14" s="115"/>
      <c r="AY14" s="115"/>
      <c r="AZ14" s="115"/>
      <c r="BA14" s="115"/>
    </row>
    <row r="15" spans="1:53" ht="45" x14ac:dyDescent="0.25">
      <c r="A15" s="92">
        <v>70</v>
      </c>
      <c r="B15" s="187">
        <v>70</v>
      </c>
      <c r="C15" s="79">
        <v>302.93671899999998</v>
      </c>
      <c r="D15" s="79">
        <v>249.33437499999999</v>
      </c>
      <c r="E15" s="115">
        <v>70</v>
      </c>
      <c r="F15" s="115" t="s">
        <v>253</v>
      </c>
      <c r="G15" s="110" t="s">
        <v>254</v>
      </c>
      <c r="H15" s="115" t="s">
        <v>83</v>
      </c>
      <c r="I15" s="115" t="s">
        <v>295</v>
      </c>
      <c r="J15" s="110" t="s">
        <v>256</v>
      </c>
      <c r="K15" s="115" t="s">
        <v>83</v>
      </c>
      <c r="L15" s="57" t="s">
        <v>258</v>
      </c>
      <c r="M15" s="115" t="s">
        <v>83</v>
      </c>
      <c r="N15" s="81" t="s">
        <v>305</v>
      </c>
      <c r="O15" s="81" t="s">
        <v>63</v>
      </c>
      <c r="P15" s="60" t="s">
        <v>298</v>
      </c>
      <c r="Q15" s="81" t="s">
        <v>309</v>
      </c>
      <c r="R15" s="81" t="s">
        <v>63</v>
      </c>
      <c r="S15" s="17" t="s">
        <v>331</v>
      </c>
      <c r="T15" s="81">
        <v>3</v>
      </c>
      <c r="U15" s="16" t="s">
        <v>120</v>
      </c>
      <c r="V15" s="81">
        <v>3</v>
      </c>
      <c r="W15" s="81" t="s">
        <v>137</v>
      </c>
      <c r="X15" s="81" t="s">
        <v>316</v>
      </c>
      <c r="Y15" s="81" t="s">
        <v>317</v>
      </c>
      <c r="Z15" s="16" t="s">
        <v>120</v>
      </c>
      <c r="AA15" s="16" t="s">
        <v>120</v>
      </c>
      <c r="AB15" s="16" t="s">
        <v>120</v>
      </c>
      <c r="AC15" s="56">
        <v>2</v>
      </c>
      <c r="AD15" s="126" t="s">
        <v>209</v>
      </c>
      <c r="AE15" s="126" t="s">
        <v>136</v>
      </c>
      <c r="AF15" s="126" t="s">
        <v>121</v>
      </c>
      <c r="AG15" s="55" t="s">
        <v>216</v>
      </c>
      <c r="AH15" s="56" t="s">
        <v>219</v>
      </c>
      <c r="AI15" s="56" t="s">
        <v>213</v>
      </c>
      <c r="AJ15" s="56" t="s">
        <v>83</v>
      </c>
      <c r="AK15" s="110" t="s">
        <v>243</v>
      </c>
      <c r="AL15" s="115" t="s">
        <v>250</v>
      </c>
      <c r="AM15" s="115" t="s">
        <v>239</v>
      </c>
      <c r="AN15" s="110" t="s">
        <v>247</v>
      </c>
      <c r="AO15" s="115" t="s">
        <v>250</v>
      </c>
      <c r="AP15" s="115" t="s">
        <v>208</v>
      </c>
      <c r="AQ15" s="93" t="s">
        <v>26</v>
      </c>
      <c r="AR15" s="86" t="str">
        <f t="shared" si="0"/>
        <v>Config - 70, UHF x UHF Link, UHF LNA-1, UHF DA-3, Ch EPC - M, DP IP port - 3, Ch Card - M2, Router - M, CDU - M, Sy EPC - M, DP OP port - 2, Sy Card - M1, UHF 100 W SSPA-2</v>
      </c>
      <c r="AS15" s="115"/>
      <c r="AT15" s="115"/>
      <c r="AU15" s="115"/>
      <c r="AV15" s="115"/>
      <c r="AW15" s="115"/>
      <c r="AX15" s="115"/>
      <c r="AY15" s="115"/>
      <c r="AZ15" s="115"/>
      <c r="BA15" s="115"/>
    </row>
    <row r="16" spans="1:53" ht="45" x14ac:dyDescent="0.25">
      <c r="A16" s="92">
        <v>71</v>
      </c>
      <c r="B16" s="187">
        <v>71</v>
      </c>
      <c r="C16" s="79">
        <v>302.95703099999997</v>
      </c>
      <c r="D16" s="79">
        <v>249.35468700000001</v>
      </c>
      <c r="E16" s="115">
        <v>71</v>
      </c>
      <c r="F16" s="115" t="s">
        <v>253</v>
      </c>
      <c r="G16" s="110" t="s">
        <v>254</v>
      </c>
      <c r="H16" s="115" t="s">
        <v>83</v>
      </c>
      <c r="I16" s="115" t="s">
        <v>295</v>
      </c>
      <c r="J16" s="110" t="s">
        <v>256</v>
      </c>
      <c r="K16" s="115" t="s">
        <v>83</v>
      </c>
      <c r="L16" s="57" t="s">
        <v>258</v>
      </c>
      <c r="M16" s="115" t="s">
        <v>83</v>
      </c>
      <c r="N16" s="81" t="s">
        <v>305</v>
      </c>
      <c r="O16" s="81" t="s">
        <v>63</v>
      </c>
      <c r="P16" s="60" t="s">
        <v>298</v>
      </c>
      <c r="Q16" s="81" t="s">
        <v>309</v>
      </c>
      <c r="R16" s="81" t="s">
        <v>63</v>
      </c>
      <c r="S16" s="17" t="s">
        <v>331</v>
      </c>
      <c r="T16" s="81">
        <v>3</v>
      </c>
      <c r="U16" s="16" t="s">
        <v>120</v>
      </c>
      <c r="V16" s="81">
        <v>3</v>
      </c>
      <c r="W16" s="81" t="s">
        <v>137</v>
      </c>
      <c r="X16" s="81" t="s">
        <v>316</v>
      </c>
      <c r="Y16" s="81" t="s">
        <v>317</v>
      </c>
      <c r="Z16" s="16" t="s">
        <v>120</v>
      </c>
      <c r="AA16" s="16" t="s">
        <v>120</v>
      </c>
      <c r="AB16" s="16" t="s">
        <v>120</v>
      </c>
      <c r="AC16" s="56">
        <v>2</v>
      </c>
      <c r="AD16" s="126" t="s">
        <v>209</v>
      </c>
      <c r="AE16" s="126" t="s">
        <v>136</v>
      </c>
      <c r="AF16" s="126" t="s">
        <v>121</v>
      </c>
      <c r="AG16" s="55" t="s">
        <v>216</v>
      </c>
      <c r="AH16" s="56" t="s">
        <v>219</v>
      </c>
      <c r="AI16" s="56" t="s">
        <v>213</v>
      </c>
      <c r="AJ16" s="56" t="s">
        <v>83</v>
      </c>
      <c r="AK16" s="110" t="s">
        <v>243</v>
      </c>
      <c r="AL16" s="115" t="s">
        <v>250</v>
      </c>
      <c r="AM16" s="115" t="s">
        <v>239</v>
      </c>
      <c r="AN16" s="110" t="s">
        <v>247</v>
      </c>
      <c r="AO16" s="115" t="s">
        <v>250</v>
      </c>
      <c r="AP16" s="115" t="s">
        <v>208</v>
      </c>
      <c r="AQ16" s="93" t="s">
        <v>26</v>
      </c>
      <c r="AR16" s="86" t="str">
        <f t="shared" si="0"/>
        <v>Config - 71, UHF x UHF Link, UHF LNA-1, UHF DA-3, Ch EPC - M, DP IP port - 3, Ch Card - M2, Router - M, CDU - M, Sy EPC - M, DP OP port - 2, Sy Card - M1, UHF 100 W SSPA-2</v>
      </c>
      <c r="AS16" s="115"/>
      <c r="AT16" s="115"/>
      <c r="AU16" s="115"/>
      <c r="AV16" s="115"/>
      <c r="AW16" s="115"/>
      <c r="AX16" s="115"/>
      <c r="AY16" s="115"/>
      <c r="AZ16" s="115"/>
      <c r="BA16" s="115"/>
    </row>
    <row r="17" spans="1:53" ht="45" x14ac:dyDescent="0.25">
      <c r="A17" s="196">
        <v>215</v>
      </c>
      <c r="B17" s="187">
        <v>59</v>
      </c>
      <c r="C17" s="85">
        <v>292.00234399999999</v>
      </c>
      <c r="D17" s="85">
        <v>249.31406200000001</v>
      </c>
      <c r="E17" s="115">
        <v>59</v>
      </c>
      <c r="F17" s="115" t="s">
        <v>253</v>
      </c>
      <c r="G17" s="110" t="s">
        <v>254</v>
      </c>
      <c r="H17" s="115" t="s">
        <v>83</v>
      </c>
      <c r="I17" s="115" t="s">
        <v>295</v>
      </c>
      <c r="J17" s="110" t="s">
        <v>256</v>
      </c>
      <c r="K17" s="115" t="s">
        <v>83</v>
      </c>
      <c r="L17" s="57" t="s">
        <v>258</v>
      </c>
      <c r="M17" s="115" t="s">
        <v>83</v>
      </c>
      <c r="N17" s="98" t="s">
        <v>603</v>
      </c>
      <c r="O17" s="98" t="s">
        <v>380</v>
      </c>
      <c r="P17" s="136" t="s">
        <v>334</v>
      </c>
      <c r="Q17" s="98" t="s">
        <v>613</v>
      </c>
      <c r="R17" s="98" t="s">
        <v>232</v>
      </c>
      <c r="S17" s="137" t="s">
        <v>332</v>
      </c>
      <c r="T17" s="98">
        <v>1</v>
      </c>
      <c r="U17" s="138" t="s">
        <v>120</v>
      </c>
      <c r="V17" s="99">
        <v>1</v>
      </c>
      <c r="W17" s="99" t="s">
        <v>209</v>
      </c>
      <c r="X17" s="99" t="s">
        <v>316</v>
      </c>
      <c r="Y17" s="99" t="s">
        <v>319</v>
      </c>
      <c r="Z17" s="16" t="s">
        <v>120</v>
      </c>
      <c r="AA17" s="16" t="s">
        <v>120</v>
      </c>
      <c r="AB17" s="16" t="s">
        <v>120</v>
      </c>
      <c r="AC17" s="82" t="s">
        <v>114</v>
      </c>
      <c r="AD17" s="82" t="s">
        <v>121</v>
      </c>
      <c r="AE17" s="82" t="s">
        <v>344</v>
      </c>
      <c r="AF17" s="82" t="s">
        <v>209</v>
      </c>
      <c r="AG17" s="82" t="s">
        <v>216</v>
      </c>
      <c r="AH17" s="59" t="s">
        <v>233</v>
      </c>
      <c r="AI17" s="16" t="s">
        <v>213</v>
      </c>
      <c r="AJ17" s="16" t="s">
        <v>83</v>
      </c>
      <c r="AK17" s="130" t="s">
        <v>243</v>
      </c>
      <c r="AL17" s="16" t="s">
        <v>250</v>
      </c>
      <c r="AM17" s="16" t="s">
        <v>239</v>
      </c>
      <c r="AN17" s="130" t="s">
        <v>247</v>
      </c>
      <c r="AO17" s="16" t="s">
        <v>250</v>
      </c>
      <c r="AP17" s="16" t="s">
        <v>208</v>
      </c>
      <c r="AQ17" s="131" t="s">
        <v>26</v>
      </c>
      <c r="AR17" s="86" t="str">
        <f t="shared" si="0"/>
        <v>Config - 215, UHF x UHF Link, UHF LNA-1, UHF DA-R1, Ch EPC - M, DP IP port - 1, Ch Card - M1, Router - M, CDU - M, Sy EPC - M, DP OP port - R1, Sy Card - R, UHF 100 W SSPA-2</v>
      </c>
      <c r="AS17" s="115"/>
      <c r="AT17" s="115"/>
      <c r="AU17" s="115"/>
      <c r="AV17" s="115"/>
      <c r="AW17" s="115"/>
      <c r="AX17" s="115"/>
      <c r="AY17" s="115"/>
      <c r="AZ17" s="115"/>
      <c r="BA17" s="115"/>
    </row>
    <row r="18" spans="1:53" ht="45" x14ac:dyDescent="0.25">
      <c r="A18" s="196">
        <v>216</v>
      </c>
      <c r="B18" s="187">
        <v>64</v>
      </c>
      <c r="C18" s="78">
        <v>294.90703100000002</v>
      </c>
      <c r="D18" s="78">
        <v>249.31406200000001</v>
      </c>
      <c r="E18" s="115">
        <v>64</v>
      </c>
      <c r="F18" s="115" t="s">
        <v>253</v>
      </c>
      <c r="G18" s="110" t="s">
        <v>254</v>
      </c>
      <c r="H18" s="115" t="s">
        <v>83</v>
      </c>
      <c r="I18" s="115" t="s">
        <v>295</v>
      </c>
      <c r="J18" s="110" t="s">
        <v>256</v>
      </c>
      <c r="K18" s="115" t="s">
        <v>83</v>
      </c>
      <c r="L18" s="57" t="s">
        <v>258</v>
      </c>
      <c r="M18" s="115" t="s">
        <v>83</v>
      </c>
      <c r="N18" s="98" t="s">
        <v>603</v>
      </c>
      <c r="O18" s="98" t="s">
        <v>380</v>
      </c>
      <c r="P18" s="136" t="s">
        <v>334</v>
      </c>
      <c r="Q18" s="98" t="s">
        <v>613</v>
      </c>
      <c r="R18" s="98" t="s">
        <v>232</v>
      </c>
      <c r="S18" s="137" t="s">
        <v>332</v>
      </c>
      <c r="T18" s="98">
        <v>1</v>
      </c>
      <c r="U18" s="138" t="s">
        <v>120</v>
      </c>
      <c r="V18" s="99">
        <v>1</v>
      </c>
      <c r="W18" s="99" t="s">
        <v>209</v>
      </c>
      <c r="X18" s="99" t="s">
        <v>316</v>
      </c>
      <c r="Y18" s="99" t="s">
        <v>319</v>
      </c>
      <c r="Z18" s="16" t="s">
        <v>120</v>
      </c>
      <c r="AA18" s="16" t="s">
        <v>120</v>
      </c>
      <c r="AB18" s="16" t="s">
        <v>120</v>
      </c>
      <c r="AC18" s="82" t="s">
        <v>114</v>
      </c>
      <c r="AD18" s="82" t="s">
        <v>121</v>
      </c>
      <c r="AE18" s="82" t="s">
        <v>344</v>
      </c>
      <c r="AF18" s="82" t="s">
        <v>209</v>
      </c>
      <c r="AG18" s="82" t="s">
        <v>216</v>
      </c>
      <c r="AH18" s="59" t="s">
        <v>233</v>
      </c>
      <c r="AI18" s="16" t="s">
        <v>213</v>
      </c>
      <c r="AJ18" s="16" t="s">
        <v>83</v>
      </c>
      <c r="AK18" s="130" t="s">
        <v>243</v>
      </c>
      <c r="AL18" s="16" t="s">
        <v>250</v>
      </c>
      <c r="AM18" s="16" t="s">
        <v>239</v>
      </c>
      <c r="AN18" s="130" t="s">
        <v>247</v>
      </c>
      <c r="AO18" s="16" t="s">
        <v>250</v>
      </c>
      <c r="AP18" s="16" t="s">
        <v>208</v>
      </c>
      <c r="AQ18" s="131" t="s">
        <v>26</v>
      </c>
      <c r="AR18" s="86" t="str">
        <f t="shared" si="0"/>
        <v>Config - 216, UHF x UHF Link, UHF LNA-1, UHF DA-R1, Ch EPC - M, DP IP port - 1, Ch Card - M1, Router - M, CDU - M, Sy EPC - M, DP OP port - R1, Sy Card - R, UHF 100 W SSPA-2</v>
      </c>
      <c r="AS18" s="115"/>
      <c r="AT18" s="115"/>
      <c r="AU18" s="115"/>
      <c r="AV18" s="115"/>
      <c r="AW18" s="115"/>
      <c r="AX18" s="115"/>
      <c r="AY18" s="115"/>
      <c r="AZ18" s="115"/>
      <c r="BA18" s="115"/>
    </row>
    <row r="19" spans="1:53" ht="45" x14ac:dyDescent="0.25">
      <c r="A19" s="196">
        <v>217</v>
      </c>
      <c r="B19" s="187">
        <v>69</v>
      </c>
      <c r="C19" s="79">
        <v>302.91640599999999</v>
      </c>
      <c r="D19" s="79">
        <v>249.31406200000001</v>
      </c>
      <c r="E19" s="115">
        <v>69</v>
      </c>
      <c r="F19" s="115" t="s">
        <v>253</v>
      </c>
      <c r="G19" s="110" t="s">
        <v>254</v>
      </c>
      <c r="H19" s="115" t="s">
        <v>83</v>
      </c>
      <c r="I19" s="115" t="s">
        <v>295</v>
      </c>
      <c r="J19" s="110" t="s">
        <v>256</v>
      </c>
      <c r="K19" s="115" t="s">
        <v>83</v>
      </c>
      <c r="L19" s="57" t="s">
        <v>258</v>
      </c>
      <c r="M19" s="115" t="s">
        <v>83</v>
      </c>
      <c r="N19" s="98" t="s">
        <v>305</v>
      </c>
      <c r="O19" s="98" t="s">
        <v>63</v>
      </c>
      <c r="P19" s="136" t="s">
        <v>298</v>
      </c>
      <c r="Q19" s="98" t="s">
        <v>309</v>
      </c>
      <c r="R19" s="98" t="s">
        <v>229</v>
      </c>
      <c r="S19" s="137" t="s">
        <v>332</v>
      </c>
      <c r="T19" s="98">
        <v>4</v>
      </c>
      <c r="U19" s="138" t="s">
        <v>120</v>
      </c>
      <c r="V19" s="99">
        <v>2</v>
      </c>
      <c r="W19" s="99" t="s">
        <v>209</v>
      </c>
      <c r="X19" s="99" t="s">
        <v>316</v>
      </c>
      <c r="Y19" s="99" t="s">
        <v>319</v>
      </c>
      <c r="Z19" s="16" t="s">
        <v>120</v>
      </c>
      <c r="AA19" s="16" t="s">
        <v>120</v>
      </c>
      <c r="AB19" s="16" t="s">
        <v>120</v>
      </c>
      <c r="AC19" s="82">
        <v>3</v>
      </c>
      <c r="AD19" s="82" t="s">
        <v>121</v>
      </c>
      <c r="AE19" s="82" t="s">
        <v>344</v>
      </c>
      <c r="AF19" s="82" t="s">
        <v>209</v>
      </c>
      <c r="AG19" s="82" t="s">
        <v>216</v>
      </c>
      <c r="AH19" s="59" t="s">
        <v>229</v>
      </c>
      <c r="AI19" s="16" t="s">
        <v>213</v>
      </c>
      <c r="AJ19" s="16" t="s">
        <v>83</v>
      </c>
      <c r="AK19" s="130" t="s">
        <v>243</v>
      </c>
      <c r="AL19" s="16" t="s">
        <v>250</v>
      </c>
      <c r="AM19" s="16" t="s">
        <v>239</v>
      </c>
      <c r="AN19" s="130" t="s">
        <v>247</v>
      </c>
      <c r="AO19" s="16" t="s">
        <v>250</v>
      </c>
      <c r="AP19" s="16" t="s">
        <v>208</v>
      </c>
      <c r="AQ19" s="131" t="s">
        <v>26</v>
      </c>
      <c r="AR19" s="86" t="str">
        <f t="shared" si="0"/>
        <v>Config - 217, UHF x UHF Link, UHF LNA-1, UHF DA-3, Ch EPC - M, DP IP port - 2, Ch Card - M1, Router - M, CDU - M, Sy EPC - M, DP OP port - 3, Sy Card - R, UHF 100 W SSPA-2</v>
      </c>
      <c r="AS19" s="115"/>
      <c r="AT19" s="115"/>
      <c r="AU19" s="115"/>
      <c r="AV19" s="115"/>
      <c r="AW19" s="115"/>
      <c r="AX19" s="115"/>
      <c r="AY19" s="115"/>
      <c r="AZ19" s="115"/>
      <c r="BA19" s="115"/>
    </row>
    <row r="20" spans="1:53" ht="45" x14ac:dyDescent="0.25">
      <c r="A20" s="196">
        <v>218</v>
      </c>
      <c r="B20" s="187">
        <v>59</v>
      </c>
      <c r="C20" s="85">
        <v>292.00234399999999</v>
      </c>
      <c r="D20" s="85">
        <v>249.31406200000001</v>
      </c>
      <c r="E20" s="115">
        <v>59</v>
      </c>
      <c r="F20" s="115" t="s">
        <v>253</v>
      </c>
      <c r="G20" s="110" t="s">
        <v>254</v>
      </c>
      <c r="H20" s="115" t="s">
        <v>83</v>
      </c>
      <c r="I20" s="115" t="s">
        <v>295</v>
      </c>
      <c r="J20" s="110" t="s">
        <v>256</v>
      </c>
      <c r="K20" s="115" t="s">
        <v>83</v>
      </c>
      <c r="L20" s="57" t="s">
        <v>258</v>
      </c>
      <c r="M20" s="115" t="s">
        <v>83</v>
      </c>
      <c r="N20" s="81" t="s">
        <v>302</v>
      </c>
      <c r="O20" s="81" t="s">
        <v>251</v>
      </c>
      <c r="P20" s="60" t="s">
        <v>296</v>
      </c>
      <c r="Q20" s="81" t="s">
        <v>311</v>
      </c>
      <c r="R20" s="81" t="s">
        <v>63</v>
      </c>
      <c r="S20" s="17" t="s">
        <v>331</v>
      </c>
      <c r="T20" s="81">
        <v>1</v>
      </c>
      <c r="U20" s="138" t="s">
        <v>121</v>
      </c>
      <c r="V20" s="81">
        <v>1</v>
      </c>
      <c r="W20" s="81" t="s">
        <v>209</v>
      </c>
      <c r="X20" s="81" t="s">
        <v>316</v>
      </c>
      <c r="Y20" s="81" t="s">
        <v>317</v>
      </c>
      <c r="Z20" s="138" t="s">
        <v>121</v>
      </c>
      <c r="AA20" s="138" t="s">
        <v>121</v>
      </c>
      <c r="AB20" s="138" t="s">
        <v>121</v>
      </c>
      <c r="AC20" s="56">
        <v>2</v>
      </c>
      <c r="AD20" s="126" t="s">
        <v>209</v>
      </c>
      <c r="AE20" s="126" t="s">
        <v>136</v>
      </c>
      <c r="AF20" s="126" t="s">
        <v>121</v>
      </c>
      <c r="AG20" s="55" t="s">
        <v>216</v>
      </c>
      <c r="AH20" s="56" t="s">
        <v>219</v>
      </c>
      <c r="AI20" s="56" t="s">
        <v>213</v>
      </c>
      <c r="AJ20" s="56" t="s">
        <v>83</v>
      </c>
      <c r="AK20" s="110" t="s">
        <v>243</v>
      </c>
      <c r="AL20" s="115" t="s">
        <v>250</v>
      </c>
      <c r="AM20" s="115" t="s">
        <v>239</v>
      </c>
      <c r="AN20" s="110" t="s">
        <v>247</v>
      </c>
      <c r="AO20" s="115" t="s">
        <v>250</v>
      </c>
      <c r="AP20" s="115" t="s">
        <v>208</v>
      </c>
      <c r="AQ20" s="93" t="s">
        <v>26</v>
      </c>
      <c r="AR20" s="86" t="str">
        <f t="shared" si="0"/>
        <v>Config - 218, UHF x UHF Link, UHF LNA-1, UHF DA-1, Ch EPC - R, DP IP port - 1, Ch Card - M1, Router - R, CDU - R, Sy EPC - R, DP OP port - 2, Sy Card - M1, UHF 100 W SSPA-2</v>
      </c>
      <c r="AS20" s="115"/>
      <c r="AT20" s="115"/>
      <c r="AU20" s="115"/>
      <c r="AV20" s="115"/>
      <c r="AW20" s="115"/>
      <c r="AX20" s="115"/>
      <c r="AY20" s="115"/>
      <c r="AZ20" s="115"/>
      <c r="BA20" s="115"/>
    </row>
    <row r="21" spans="1:53" ht="45" x14ac:dyDescent="0.25">
      <c r="A21" s="196">
        <v>219</v>
      </c>
      <c r="B21" s="187">
        <v>64</v>
      </c>
      <c r="C21" s="78">
        <v>294.90703100000002</v>
      </c>
      <c r="D21" s="78">
        <v>249.31406200000001</v>
      </c>
      <c r="E21" s="115">
        <v>64</v>
      </c>
      <c r="F21" s="115" t="s">
        <v>253</v>
      </c>
      <c r="G21" s="110" t="s">
        <v>254</v>
      </c>
      <c r="H21" s="115" t="s">
        <v>83</v>
      </c>
      <c r="I21" s="115" t="s">
        <v>295</v>
      </c>
      <c r="J21" s="110" t="s">
        <v>256</v>
      </c>
      <c r="K21" s="115" t="s">
        <v>83</v>
      </c>
      <c r="L21" s="57" t="s">
        <v>258</v>
      </c>
      <c r="M21" s="115" t="s">
        <v>83</v>
      </c>
      <c r="N21" s="81" t="s">
        <v>302</v>
      </c>
      <c r="O21" s="81" t="s">
        <v>251</v>
      </c>
      <c r="P21" s="60" t="s">
        <v>296</v>
      </c>
      <c r="Q21" s="81" t="s">
        <v>311</v>
      </c>
      <c r="R21" s="81" t="s">
        <v>63</v>
      </c>
      <c r="S21" s="17" t="s">
        <v>331</v>
      </c>
      <c r="T21" s="81">
        <v>2</v>
      </c>
      <c r="U21" s="138" t="s">
        <v>121</v>
      </c>
      <c r="V21" s="81">
        <v>1</v>
      </c>
      <c r="W21" s="81" t="s">
        <v>209</v>
      </c>
      <c r="X21" s="81" t="s">
        <v>316</v>
      </c>
      <c r="Y21" s="81" t="s">
        <v>317</v>
      </c>
      <c r="Z21" s="138" t="s">
        <v>121</v>
      </c>
      <c r="AA21" s="138" t="s">
        <v>121</v>
      </c>
      <c r="AB21" s="138" t="s">
        <v>121</v>
      </c>
      <c r="AC21" s="56">
        <v>2</v>
      </c>
      <c r="AD21" s="126" t="s">
        <v>209</v>
      </c>
      <c r="AE21" s="126" t="s">
        <v>136</v>
      </c>
      <c r="AF21" s="126" t="s">
        <v>121</v>
      </c>
      <c r="AG21" s="55" t="s">
        <v>216</v>
      </c>
      <c r="AH21" s="56" t="s">
        <v>219</v>
      </c>
      <c r="AI21" s="56" t="s">
        <v>213</v>
      </c>
      <c r="AJ21" s="56" t="s">
        <v>83</v>
      </c>
      <c r="AK21" s="110" t="s">
        <v>243</v>
      </c>
      <c r="AL21" s="115" t="s">
        <v>250</v>
      </c>
      <c r="AM21" s="115" t="s">
        <v>239</v>
      </c>
      <c r="AN21" s="110" t="s">
        <v>247</v>
      </c>
      <c r="AO21" s="115" t="s">
        <v>250</v>
      </c>
      <c r="AP21" s="115" t="s">
        <v>208</v>
      </c>
      <c r="AQ21" s="93" t="s">
        <v>26</v>
      </c>
      <c r="AR21" s="86" t="str">
        <f t="shared" si="0"/>
        <v>Config - 219, UHF x UHF Link, UHF LNA-1, UHF DA-1, Ch EPC - R, DP IP port - 1, Ch Card - M1, Router - R, CDU - R, Sy EPC - R, DP OP port - 2, Sy Card - M1, UHF 100 W SSPA-2</v>
      </c>
      <c r="AS21" s="115"/>
      <c r="AT21" s="115"/>
      <c r="AU21" s="115"/>
      <c r="AV21" s="115"/>
      <c r="AW21" s="115"/>
      <c r="AX21" s="115"/>
      <c r="AY21" s="115"/>
      <c r="AZ21" s="115"/>
      <c r="BA21" s="115"/>
    </row>
    <row r="22" spans="1:53" ht="45" x14ac:dyDescent="0.25">
      <c r="A22" s="196">
        <v>220</v>
      </c>
      <c r="B22" s="187">
        <v>69</v>
      </c>
      <c r="C22" s="79">
        <v>302.91640599999999</v>
      </c>
      <c r="D22" s="79">
        <v>249.31406200000001</v>
      </c>
      <c r="E22" s="115">
        <v>69</v>
      </c>
      <c r="F22" s="115" t="s">
        <v>253</v>
      </c>
      <c r="G22" s="110" t="s">
        <v>254</v>
      </c>
      <c r="H22" s="115" t="s">
        <v>83</v>
      </c>
      <c r="I22" s="115" t="s">
        <v>295</v>
      </c>
      <c r="J22" s="110" t="s">
        <v>256</v>
      </c>
      <c r="K22" s="115" t="s">
        <v>83</v>
      </c>
      <c r="L22" s="57" t="s">
        <v>258</v>
      </c>
      <c r="M22" s="115" t="s">
        <v>83</v>
      </c>
      <c r="N22" s="81" t="s">
        <v>305</v>
      </c>
      <c r="O22" s="81" t="s">
        <v>63</v>
      </c>
      <c r="P22" s="60" t="s">
        <v>298</v>
      </c>
      <c r="Q22" s="81" t="s">
        <v>309</v>
      </c>
      <c r="R22" s="81" t="s">
        <v>63</v>
      </c>
      <c r="S22" s="17" t="s">
        <v>331</v>
      </c>
      <c r="T22" s="81">
        <v>3</v>
      </c>
      <c r="U22" s="138" t="s">
        <v>121</v>
      </c>
      <c r="V22" s="81">
        <v>3</v>
      </c>
      <c r="W22" s="81" t="s">
        <v>137</v>
      </c>
      <c r="X22" s="81" t="s">
        <v>316</v>
      </c>
      <c r="Y22" s="81" t="s">
        <v>317</v>
      </c>
      <c r="Z22" s="138" t="s">
        <v>121</v>
      </c>
      <c r="AA22" s="138" t="s">
        <v>121</v>
      </c>
      <c r="AB22" s="138" t="s">
        <v>121</v>
      </c>
      <c r="AC22" s="56">
        <v>2</v>
      </c>
      <c r="AD22" s="126" t="s">
        <v>209</v>
      </c>
      <c r="AE22" s="126" t="s">
        <v>136</v>
      </c>
      <c r="AF22" s="126" t="s">
        <v>121</v>
      </c>
      <c r="AG22" s="55" t="s">
        <v>216</v>
      </c>
      <c r="AH22" s="56" t="s">
        <v>219</v>
      </c>
      <c r="AI22" s="56" t="s">
        <v>213</v>
      </c>
      <c r="AJ22" s="56" t="s">
        <v>83</v>
      </c>
      <c r="AK22" s="110" t="s">
        <v>243</v>
      </c>
      <c r="AL22" s="115" t="s">
        <v>250</v>
      </c>
      <c r="AM22" s="115" t="s">
        <v>239</v>
      </c>
      <c r="AN22" s="110" t="s">
        <v>247</v>
      </c>
      <c r="AO22" s="115" t="s">
        <v>250</v>
      </c>
      <c r="AP22" s="115" t="s">
        <v>208</v>
      </c>
      <c r="AQ22" s="93" t="s">
        <v>26</v>
      </c>
      <c r="AR22" s="86" t="str">
        <f t="shared" si="0"/>
        <v>Config - 220, UHF x UHF Link, UHF LNA-1, UHF DA-3, Ch EPC - R, DP IP port - 3, Ch Card - M2, Router - R, CDU - R, Sy EPC - R, DP OP port - 2, Sy Card - M1, UHF 100 W SSPA-2</v>
      </c>
      <c r="AS22" s="115"/>
      <c r="AT22" s="115"/>
      <c r="AU22" s="115"/>
      <c r="AV22" s="115"/>
      <c r="AW22" s="115"/>
      <c r="AX22" s="115"/>
      <c r="AY22" s="115"/>
      <c r="AZ22" s="115"/>
      <c r="BA22" s="115"/>
    </row>
  </sheetData>
  <autoFilter ref="A1:AQ9"/>
  <pageMargins left="0.7" right="0.7" top="0.75" bottom="0.75" header="0.3" footer="0.3"/>
  <pageSetup paperSize="9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topLeftCell="P1" zoomScale="130" zoomScaleNormal="130" workbookViewId="0">
      <selection activeCell="U4" sqref="U4"/>
    </sheetView>
  </sheetViews>
  <sheetFormatPr defaultColWidth="9.140625" defaultRowHeight="15" x14ac:dyDescent="0.25"/>
  <cols>
    <col min="1" max="3" width="9.140625" style="117"/>
    <col min="4" max="4" width="14.7109375" style="117" bestFit="1" customWidth="1"/>
    <col min="5" max="5" width="9.140625" style="117"/>
    <col min="6" max="6" width="17.28515625" style="117" bestFit="1" customWidth="1"/>
    <col min="7" max="7" width="12.28515625" style="117" bestFit="1" customWidth="1"/>
    <col min="8" max="8" width="16.42578125" style="117" bestFit="1" customWidth="1"/>
    <col min="9" max="9" width="16.85546875" style="117" bestFit="1" customWidth="1"/>
    <col min="10" max="10" width="23.85546875" style="117" bestFit="1" customWidth="1"/>
    <col min="11" max="11" width="12.140625" style="117" customWidth="1"/>
    <col min="12" max="12" width="16.85546875" style="117" customWidth="1"/>
    <col min="13" max="13" width="18.85546875" style="117" bestFit="1" customWidth="1"/>
    <col min="14" max="14" width="12.85546875" style="117" bestFit="1" customWidth="1"/>
    <col min="15" max="15" width="19.28515625" style="117" bestFit="1" customWidth="1"/>
    <col min="16" max="16" width="25.28515625" style="117" bestFit="1" customWidth="1"/>
    <col min="17" max="17" width="15.140625" style="117" bestFit="1" customWidth="1"/>
    <col min="18" max="18" width="25.28515625" style="117" customWidth="1"/>
    <col min="19" max="19" width="16.42578125" style="117" bestFit="1" customWidth="1"/>
    <col min="20" max="20" width="15" style="117" bestFit="1" customWidth="1"/>
    <col min="21" max="21" width="63" style="433" bestFit="1" customWidth="1"/>
    <col min="22" max="16384" width="9.140625" style="117"/>
  </cols>
  <sheetData>
    <row r="1" spans="1:21" s="13" customFormat="1" x14ac:dyDescent="0.25">
      <c r="A1" s="116" t="s">
        <v>23</v>
      </c>
      <c r="B1" s="116" t="s">
        <v>31</v>
      </c>
      <c r="C1" s="116" t="s">
        <v>35</v>
      </c>
      <c r="D1" s="116" t="s">
        <v>453</v>
      </c>
      <c r="E1" s="116" t="s">
        <v>36</v>
      </c>
      <c r="F1" s="116" t="s">
        <v>454</v>
      </c>
      <c r="G1" s="116" t="s">
        <v>89</v>
      </c>
      <c r="H1" s="116" t="s">
        <v>25</v>
      </c>
      <c r="I1" s="116" t="s">
        <v>458</v>
      </c>
      <c r="J1" s="116" t="s">
        <v>459</v>
      </c>
      <c r="K1" s="116" t="s">
        <v>7</v>
      </c>
      <c r="L1" s="116" t="s">
        <v>48</v>
      </c>
      <c r="M1" s="116" t="s">
        <v>49</v>
      </c>
      <c r="N1" s="116" t="s">
        <v>24</v>
      </c>
      <c r="O1" s="116" t="s">
        <v>50</v>
      </c>
      <c r="P1" s="116" t="s">
        <v>51</v>
      </c>
      <c r="Q1" s="116" t="s">
        <v>462</v>
      </c>
      <c r="R1" s="116" t="s">
        <v>463</v>
      </c>
      <c r="S1" s="116" t="s">
        <v>41</v>
      </c>
      <c r="T1" s="116" t="s">
        <v>90</v>
      </c>
      <c r="U1" s="432" t="s">
        <v>524</v>
      </c>
    </row>
    <row r="2" spans="1:21" ht="30" x14ac:dyDescent="0.25">
      <c r="A2" s="132">
        <v>105</v>
      </c>
      <c r="B2" s="56">
        <v>105</v>
      </c>
      <c r="C2" s="56">
        <v>12862.5</v>
      </c>
      <c r="D2" s="56" t="s">
        <v>455</v>
      </c>
      <c r="E2" s="119">
        <v>10812.5</v>
      </c>
      <c r="F2" s="119" t="s">
        <v>456</v>
      </c>
      <c r="G2" s="119"/>
      <c r="H2" s="119" t="s">
        <v>457</v>
      </c>
      <c r="I2" s="119" t="s">
        <v>458</v>
      </c>
      <c r="J2" s="119" t="s">
        <v>459</v>
      </c>
      <c r="K2" s="119" t="s">
        <v>169</v>
      </c>
      <c r="L2" s="118" t="s">
        <v>460</v>
      </c>
      <c r="M2" s="119" t="s">
        <v>66</v>
      </c>
      <c r="N2" s="119" t="s">
        <v>33</v>
      </c>
      <c r="O2" s="118" t="s">
        <v>461</v>
      </c>
      <c r="P2" s="119" t="s">
        <v>251</v>
      </c>
      <c r="Q2" s="119" t="s">
        <v>462</v>
      </c>
      <c r="R2" s="119" t="s">
        <v>88</v>
      </c>
      <c r="S2" s="119" t="s">
        <v>457</v>
      </c>
      <c r="T2" s="119"/>
      <c r="U2" s="434" t="str">
        <f>CONCATENATE("Config - ",A2, ", BIU Link, ",I2,", ",J2,", ",N2)</f>
        <v>Config - 105, BIU Link, BIU Receiver, BIU Down Converter, LCTWTA-1</v>
      </c>
    </row>
    <row r="3" spans="1:21" ht="30" x14ac:dyDescent="0.25">
      <c r="A3" s="132">
        <v>106</v>
      </c>
      <c r="B3" s="56">
        <v>106</v>
      </c>
      <c r="C3" s="56">
        <v>13137.5</v>
      </c>
      <c r="D3" s="56" t="s">
        <v>455</v>
      </c>
      <c r="E3" s="119">
        <v>11337.5</v>
      </c>
      <c r="F3" s="119" t="s">
        <v>456</v>
      </c>
      <c r="G3" s="119"/>
      <c r="H3" s="119" t="s">
        <v>457</v>
      </c>
      <c r="I3" s="119" t="s">
        <v>458</v>
      </c>
      <c r="J3" s="119"/>
      <c r="K3" s="119" t="s">
        <v>169</v>
      </c>
      <c r="L3" s="118" t="s">
        <v>460</v>
      </c>
      <c r="M3" s="119" t="s">
        <v>66</v>
      </c>
      <c r="N3" s="119" t="s">
        <v>33</v>
      </c>
      <c r="O3" s="118" t="s">
        <v>461</v>
      </c>
      <c r="P3" s="119" t="s">
        <v>251</v>
      </c>
      <c r="Q3" s="119" t="s">
        <v>462</v>
      </c>
      <c r="R3" s="119" t="s">
        <v>88</v>
      </c>
      <c r="S3" s="119" t="s">
        <v>457</v>
      </c>
      <c r="T3" s="119"/>
      <c r="U3" s="434" t="str">
        <f t="shared" ref="U3:U5" si="0">CONCATENATE("Config - ",A3, ", BIU Link, ",I3,", ",J3,", ",N3)</f>
        <v>Config - 106, BIU Link, BIU Receiver, , LCTWTA-1</v>
      </c>
    </row>
    <row r="4" spans="1:21" ht="30" x14ac:dyDescent="0.25">
      <c r="A4" s="119">
        <v>221</v>
      </c>
      <c r="B4" s="56">
        <v>105</v>
      </c>
      <c r="C4" s="56">
        <v>12862.5</v>
      </c>
      <c r="D4" s="56" t="s">
        <v>455</v>
      </c>
      <c r="E4" s="119">
        <v>10812.5</v>
      </c>
      <c r="F4" s="119" t="s">
        <v>456</v>
      </c>
      <c r="G4" s="119"/>
      <c r="H4" s="119" t="s">
        <v>457</v>
      </c>
      <c r="I4" s="119" t="s">
        <v>458</v>
      </c>
      <c r="J4" s="119" t="s">
        <v>459</v>
      </c>
      <c r="K4" s="119" t="s">
        <v>169</v>
      </c>
      <c r="L4" s="118" t="s">
        <v>460</v>
      </c>
      <c r="M4" s="119" t="s">
        <v>279</v>
      </c>
      <c r="N4" s="119" t="s">
        <v>446</v>
      </c>
      <c r="O4" s="118" t="s">
        <v>461</v>
      </c>
      <c r="P4" s="119" t="s">
        <v>228</v>
      </c>
      <c r="Q4" s="119" t="s">
        <v>462</v>
      </c>
      <c r="R4" s="119" t="s">
        <v>88</v>
      </c>
      <c r="S4" s="119" t="s">
        <v>457</v>
      </c>
      <c r="T4" s="119"/>
      <c r="U4" s="434" t="str">
        <f t="shared" si="0"/>
        <v>Config - 221, BIU Link, BIU Receiver, BIU Down Converter, LCTWTA-R1</v>
      </c>
    </row>
    <row r="5" spans="1:21" ht="30" x14ac:dyDescent="0.25">
      <c r="A5" s="119">
        <v>222</v>
      </c>
      <c r="B5" s="56">
        <v>106</v>
      </c>
      <c r="C5" s="56">
        <v>13137.5</v>
      </c>
      <c r="D5" s="56" t="s">
        <v>455</v>
      </c>
      <c r="E5" s="119">
        <v>11337.5</v>
      </c>
      <c r="F5" s="119" t="s">
        <v>456</v>
      </c>
      <c r="G5" s="119"/>
      <c r="H5" s="119" t="s">
        <v>457</v>
      </c>
      <c r="I5" s="119" t="s">
        <v>458</v>
      </c>
      <c r="J5" s="119"/>
      <c r="K5" s="119" t="s">
        <v>169</v>
      </c>
      <c r="L5" s="118" t="s">
        <v>460</v>
      </c>
      <c r="M5" s="119" t="s">
        <v>279</v>
      </c>
      <c r="N5" s="119" t="s">
        <v>446</v>
      </c>
      <c r="O5" s="118" t="s">
        <v>461</v>
      </c>
      <c r="P5" s="119" t="s">
        <v>228</v>
      </c>
      <c r="Q5" s="119" t="s">
        <v>462</v>
      </c>
      <c r="R5" s="119" t="s">
        <v>88</v>
      </c>
      <c r="S5" s="119" t="s">
        <v>457</v>
      </c>
      <c r="T5" s="119"/>
      <c r="U5" s="434" t="str">
        <f t="shared" si="0"/>
        <v>Config - 222, BIU Link, BIU Receiver, , LCTWTA-R1</v>
      </c>
    </row>
  </sheetData>
  <autoFilter ref="A1:T2"/>
  <pageMargins left="0.7" right="0.7" top="0.75" bottom="0.75" header="0.3" footer="0.3"/>
  <pageSetup paperSize="9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zoomScale="130" zoomScaleNormal="130" workbookViewId="0">
      <selection activeCell="A4" sqref="A4"/>
    </sheetView>
  </sheetViews>
  <sheetFormatPr defaultColWidth="9.140625" defaultRowHeight="15" x14ac:dyDescent="0.25"/>
  <cols>
    <col min="1" max="3" width="9.140625" style="117"/>
    <col min="4" max="4" width="17.28515625" style="117" bestFit="1" customWidth="1"/>
    <col min="5" max="5" width="23.85546875" style="117" bestFit="1" customWidth="1"/>
    <col min="6" max="6" width="12.140625" style="117" customWidth="1"/>
    <col min="7" max="7" width="16.85546875" style="117" customWidth="1"/>
    <col min="8" max="8" width="18.85546875" style="117" bestFit="1" customWidth="1"/>
    <col min="9" max="9" width="15.140625" style="117" bestFit="1" customWidth="1"/>
    <col min="10" max="10" width="25.28515625" style="117" customWidth="1"/>
    <col min="11" max="11" width="16.42578125" style="117" bestFit="1" customWidth="1"/>
    <col min="12" max="12" width="15" style="117" bestFit="1" customWidth="1"/>
    <col min="13" max="16384" width="9.140625" style="117"/>
  </cols>
  <sheetData>
    <row r="1" spans="1:12" s="13" customFormat="1" x14ac:dyDescent="0.25">
      <c r="A1" s="116" t="s">
        <v>23</v>
      </c>
      <c r="B1" s="116" t="s">
        <v>31</v>
      </c>
      <c r="C1" s="116" t="s">
        <v>36</v>
      </c>
      <c r="D1" s="116" t="s">
        <v>454</v>
      </c>
      <c r="E1" s="116" t="s">
        <v>468</v>
      </c>
      <c r="F1" s="116" t="s">
        <v>7</v>
      </c>
      <c r="G1" s="116" t="s">
        <v>464</v>
      </c>
      <c r="H1" s="116" t="s">
        <v>464</v>
      </c>
      <c r="I1" s="116" t="s">
        <v>462</v>
      </c>
      <c r="J1" s="116" t="s">
        <v>463</v>
      </c>
      <c r="K1" s="116" t="s">
        <v>41</v>
      </c>
      <c r="L1" s="116" t="s">
        <v>90</v>
      </c>
    </row>
    <row r="2" spans="1:12" x14ac:dyDescent="0.25">
      <c r="A2" s="132">
        <v>107</v>
      </c>
      <c r="B2" s="56">
        <v>107</v>
      </c>
      <c r="C2" s="119">
        <v>11698.5</v>
      </c>
      <c r="D2" s="119" t="s">
        <v>456</v>
      </c>
      <c r="E2" s="119" t="s">
        <v>467</v>
      </c>
      <c r="F2" s="119" t="s">
        <v>466</v>
      </c>
      <c r="G2" s="171" t="s">
        <v>464</v>
      </c>
      <c r="H2" s="119" t="s">
        <v>83</v>
      </c>
      <c r="I2" s="119" t="s">
        <v>462</v>
      </c>
      <c r="J2" s="119" t="s">
        <v>83</v>
      </c>
      <c r="K2" s="119" t="s">
        <v>457</v>
      </c>
      <c r="L2" s="119"/>
    </row>
    <row r="3" spans="1:12" x14ac:dyDescent="0.25">
      <c r="A3" s="119">
        <v>223</v>
      </c>
      <c r="B3" s="56">
        <v>107</v>
      </c>
      <c r="C3" s="119">
        <v>11698.5</v>
      </c>
      <c r="D3" s="119" t="s">
        <v>456</v>
      </c>
      <c r="E3" s="119" t="s">
        <v>469</v>
      </c>
      <c r="F3" s="119" t="s">
        <v>465</v>
      </c>
      <c r="G3" s="171" t="s">
        <v>464</v>
      </c>
      <c r="H3" s="119" t="s">
        <v>88</v>
      </c>
      <c r="I3" s="119" t="s">
        <v>462</v>
      </c>
      <c r="J3" s="119" t="s">
        <v>83</v>
      </c>
      <c r="K3" s="119" t="s">
        <v>457</v>
      </c>
      <c r="L3" s="119"/>
    </row>
  </sheetData>
  <autoFilter ref="A1:L2"/>
  <pageMargins left="0.7" right="0.7" top="0.75" bottom="0.75" header="0.3" footer="0.3"/>
  <pageSetup paperSize="9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9"/>
  <sheetViews>
    <sheetView zoomScale="70" zoomScaleNormal="70" workbookViewId="0">
      <selection activeCell="C2" sqref="C2"/>
    </sheetView>
  </sheetViews>
  <sheetFormatPr defaultColWidth="9.140625" defaultRowHeight="15" x14ac:dyDescent="0.25"/>
  <cols>
    <col min="1" max="1" width="13.7109375" style="318" bestFit="1" customWidth="1"/>
    <col min="2" max="2" width="15.7109375" style="318" bestFit="1" customWidth="1"/>
    <col min="3" max="3" width="13.85546875" style="318" bestFit="1" customWidth="1"/>
    <col min="4" max="4" width="17.42578125" style="318" bestFit="1" customWidth="1"/>
    <col min="5" max="5" width="11.5703125" style="318" customWidth="1"/>
    <col min="6" max="6" width="16" style="318" customWidth="1"/>
    <col min="7" max="7" width="19.140625" style="318" customWidth="1"/>
    <col min="8" max="8" width="23.42578125" style="318" customWidth="1"/>
    <col min="9" max="9" width="17" style="318" bestFit="1" customWidth="1"/>
    <col min="10" max="10" width="17.5703125" style="318" bestFit="1" customWidth="1"/>
    <col min="11" max="11" width="20.28515625" style="318" customWidth="1"/>
    <col min="12" max="12" width="25" style="318" customWidth="1"/>
    <col min="13" max="13" width="14.42578125" style="318" customWidth="1"/>
    <col min="14" max="14" width="12.140625" style="318" customWidth="1"/>
    <col min="15" max="15" width="20.7109375" style="318" customWidth="1"/>
    <col min="16" max="16" width="25.42578125" style="318" customWidth="1"/>
    <col min="17" max="17" width="16" style="318" bestFit="1" customWidth="1"/>
    <col min="18" max="18" width="23" style="318" customWidth="1"/>
    <col min="19" max="19" width="26.7109375" style="318" customWidth="1"/>
    <col min="20" max="20" width="16.5703125" style="318" customWidth="1"/>
    <col min="21" max="21" width="14" style="318" customWidth="1"/>
    <col min="22" max="22" width="87.28515625" style="318" customWidth="1"/>
    <col min="23" max="16384" width="9.140625" style="318"/>
  </cols>
  <sheetData>
    <row r="1" spans="1:22" s="13" customFormat="1" ht="75" x14ac:dyDescent="0.3">
      <c r="A1" s="307" t="s">
        <v>23</v>
      </c>
      <c r="B1" s="307" t="s">
        <v>31</v>
      </c>
      <c r="C1" s="307" t="s">
        <v>35</v>
      </c>
      <c r="D1" s="307" t="s">
        <v>36</v>
      </c>
      <c r="E1" s="307" t="s">
        <v>89</v>
      </c>
      <c r="F1" s="307" t="s">
        <v>25</v>
      </c>
      <c r="G1" s="307" t="s">
        <v>42</v>
      </c>
      <c r="H1" s="307" t="s">
        <v>44</v>
      </c>
      <c r="I1" s="307" t="s">
        <v>525</v>
      </c>
      <c r="J1" s="307" t="s">
        <v>7</v>
      </c>
      <c r="K1" s="307" t="s">
        <v>43</v>
      </c>
      <c r="L1" s="307" t="s">
        <v>45</v>
      </c>
      <c r="M1" s="307" t="s">
        <v>46</v>
      </c>
      <c r="N1" s="307" t="s">
        <v>47</v>
      </c>
      <c r="O1" s="307" t="s">
        <v>48</v>
      </c>
      <c r="P1" s="307" t="s">
        <v>49</v>
      </c>
      <c r="Q1" s="307" t="s">
        <v>24</v>
      </c>
      <c r="R1" s="307" t="s">
        <v>50</v>
      </c>
      <c r="S1" s="307" t="s">
        <v>51</v>
      </c>
      <c r="T1" s="307" t="s">
        <v>41</v>
      </c>
      <c r="U1" s="307" t="s">
        <v>90</v>
      </c>
      <c r="V1" s="306" t="s">
        <v>524</v>
      </c>
    </row>
    <row r="2" spans="1:22" ht="75" x14ac:dyDescent="0.25">
      <c r="A2" s="292">
        <v>224</v>
      </c>
      <c r="B2" s="293">
        <v>97</v>
      </c>
      <c r="C2" s="294">
        <v>14020</v>
      </c>
      <c r="D2" s="307">
        <v>10970</v>
      </c>
      <c r="E2" s="307" t="s">
        <v>26</v>
      </c>
      <c r="F2" s="307" t="s">
        <v>30</v>
      </c>
      <c r="G2" s="307" t="s">
        <v>73</v>
      </c>
      <c r="H2" s="307" t="s">
        <v>79</v>
      </c>
      <c r="I2" s="307" t="s">
        <v>526</v>
      </c>
      <c r="J2" s="307" t="s">
        <v>169</v>
      </c>
      <c r="K2" s="307" t="s">
        <v>74</v>
      </c>
      <c r="L2" s="307" t="s">
        <v>69</v>
      </c>
      <c r="M2" s="295" t="s">
        <v>86</v>
      </c>
      <c r="N2" s="295" t="s">
        <v>88</v>
      </c>
      <c r="O2" s="307" t="s">
        <v>444</v>
      </c>
      <c r="P2" s="307" t="s">
        <v>250</v>
      </c>
      <c r="Q2" s="307" t="s">
        <v>33</v>
      </c>
      <c r="R2" s="307" t="s">
        <v>445</v>
      </c>
      <c r="S2" s="307" t="s">
        <v>234</v>
      </c>
      <c r="T2" s="307" t="s">
        <v>30</v>
      </c>
      <c r="U2" s="307" t="s">
        <v>26</v>
      </c>
      <c r="V2" s="307" t="str">
        <f>CONCATENATE("Config - ", A2,", KuxKu Link, ","UL Beam: ",E2, ", ",I2, ", ",Q2, ", DL Beam: ",U2)</f>
        <v>Config - 224, KuxKu Link, UL Beam: WB-1, Ku RX-3, LCTWTA-1, DL Beam: WB-1</v>
      </c>
    </row>
    <row r="3" spans="1:22" ht="75" x14ac:dyDescent="0.25">
      <c r="A3" s="292">
        <v>225</v>
      </c>
      <c r="B3" s="293">
        <v>98</v>
      </c>
      <c r="C3" s="307">
        <v>14060</v>
      </c>
      <c r="D3" s="307">
        <v>11010</v>
      </c>
      <c r="E3" s="307" t="s">
        <v>26</v>
      </c>
      <c r="F3" s="307" t="s">
        <v>30</v>
      </c>
      <c r="G3" s="307" t="s">
        <v>73</v>
      </c>
      <c r="H3" s="307" t="s">
        <v>79</v>
      </c>
      <c r="I3" s="307" t="s">
        <v>526</v>
      </c>
      <c r="J3" s="307" t="s">
        <v>169</v>
      </c>
      <c r="K3" s="307" t="s">
        <v>74</v>
      </c>
      <c r="L3" s="307" t="s">
        <v>69</v>
      </c>
      <c r="M3" s="296"/>
      <c r="N3" s="296"/>
      <c r="O3" s="307" t="s">
        <v>52</v>
      </c>
      <c r="P3" s="307" t="s">
        <v>62</v>
      </c>
      <c r="Q3" s="307" t="s">
        <v>34</v>
      </c>
      <c r="R3" s="307" t="s">
        <v>57</v>
      </c>
      <c r="S3" s="307" t="s">
        <v>67</v>
      </c>
      <c r="T3" s="307" t="s">
        <v>30</v>
      </c>
      <c r="U3" s="307" t="s">
        <v>26</v>
      </c>
      <c r="V3" s="307" t="str">
        <f t="shared" ref="V3:V9" si="0">CONCATENATE("Config - ", A3,", KuxKu Link, ","UL Beam: ",E3, ", ",I3, ", ",Q3, ", DL Beam: ",U3)</f>
        <v>Config - 225, KuxKu Link, UL Beam: WB-1, Ku RX-3, LCTWTA-2, DL Beam: WB-1</v>
      </c>
    </row>
    <row r="4" spans="1:22" ht="75" x14ac:dyDescent="0.25">
      <c r="A4" s="292">
        <v>226</v>
      </c>
      <c r="B4" s="293">
        <v>99</v>
      </c>
      <c r="C4" s="307">
        <v>14100</v>
      </c>
      <c r="D4" s="307">
        <v>11050</v>
      </c>
      <c r="E4" s="307" t="s">
        <v>26</v>
      </c>
      <c r="F4" s="307" t="s">
        <v>30</v>
      </c>
      <c r="G4" s="307" t="s">
        <v>73</v>
      </c>
      <c r="H4" s="307" t="s">
        <v>79</v>
      </c>
      <c r="I4" s="307" t="s">
        <v>526</v>
      </c>
      <c r="J4" s="307" t="s">
        <v>169</v>
      </c>
      <c r="K4" s="307" t="s">
        <v>74</v>
      </c>
      <c r="L4" s="307" t="s">
        <v>69</v>
      </c>
      <c r="M4" s="296"/>
      <c r="N4" s="296"/>
      <c r="O4" s="307" t="s">
        <v>53</v>
      </c>
      <c r="P4" s="307" t="s">
        <v>63</v>
      </c>
      <c r="Q4" s="307" t="s">
        <v>37</v>
      </c>
      <c r="R4" s="307" t="s">
        <v>58</v>
      </c>
      <c r="S4" s="307" t="s">
        <v>63</v>
      </c>
      <c r="T4" s="307" t="s">
        <v>30</v>
      </c>
      <c r="U4" s="307" t="s">
        <v>26</v>
      </c>
      <c r="V4" s="307" t="str">
        <f t="shared" si="0"/>
        <v>Config - 226, KuxKu Link, UL Beam: WB-1, Ku RX-3, LCTWTA-3, DL Beam: WB-1</v>
      </c>
    </row>
    <row r="5" spans="1:22" ht="75" x14ac:dyDescent="0.25">
      <c r="A5" s="292">
        <v>227</v>
      </c>
      <c r="B5" s="297">
        <v>100</v>
      </c>
      <c r="C5" s="298">
        <v>14140</v>
      </c>
      <c r="D5" s="307">
        <v>11090</v>
      </c>
      <c r="E5" s="307" t="s">
        <v>27</v>
      </c>
      <c r="F5" s="307" t="s">
        <v>30</v>
      </c>
      <c r="G5" s="307" t="s">
        <v>75</v>
      </c>
      <c r="H5" s="307" t="s">
        <v>80</v>
      </c>
      <c r="I5" s="307" t="s">
        <v>527</v>
      </c>
      <c r="J5" s="307" t="s">
        <v>169</v>
      </c>
      <c r="K5" s="307" t="s">
        <v>77</v>
      </c>
      <c r="L5" s="307" t="s">
        <v>70</v>
      </c>
      <c r="M5" s="295" t="s">
        <v>87</v>
      </c>
      <c r="N5" s="295" t="s">
        <v>88</v>
      </c>
      <c r="O5" s="307" t="s">
        <v>54</v>
      </c>
      <c r="P5" s="307" t="s">
        <v>63</v>
      </c>
      <c r="Q5" s="307" t="s">
        <v>38</v>
      </c>
      <c r="R5" s="307" t="s">
        <v>59</v>
      </c>
      <c r="S5" s="307" t="s">
        <v>63</v>
      </c>
      <c r="T5" s="307" t="s">
        <v>30</v>
      </c>
      <c r="U5" s="307" t="s">
        <v>27</v>
      </c>
      <c r="V5" s="307" t="str">
        <f t="shared" si="0"/>
        <v>Config - 227, KuxKu Link, UL Beam: WB-2, Ku RX-4, LCTWTA-4, DL Beam: WB-2</v>
      </c>
    </row>
    <row r="6" spans="1:22" ht="75" x14ac:dyDescent="0.25">
      <c r="A6" s="292">
        <v>228</v>
      </c>
      <c r="B6" s="297">
        <v>101</v>
      </c>
      <c r="C6" s="307">
        <v>14180</v>
      </c>
      <c r="D6" s="307">
        <v>11130</v>
      </c>
      <c r="E6" s="307" t="s">
        <v>27</v>
      </c>
      <c r="F6" s="307" t="s">
        <v>30</v>
      </c>
      <c r="G6" s="307" t="s">
        <v>75</v>
      </c>
      <c r="H6" s="307" t="s">
        <v>80</v>
      </c>
      <c r="I6" s="307" t="s">
        <v>527</v>
      </c>
      <c r="J6" s="307" t="s">
        <v>169</v>
      </c>
      <c r="K6" s="307" t="s">
        <v>77</v>
      </c>
      <c r="L6" s="307" t="s">
        <v>70</v>
      </c>
      <c r="M6" s="296"/>
      <c r="N6" s="296"/>
      <c r="O6" s="307" t="s">
        <v>55</v>
      </c>
      <c r="P6" s="307" t="s">
        <v>64</v>
      </c>
      <c r="Q6" s="307" t="s">
        <v>39</v>
      </c>
      <c r="R6" s="307" t="s">
        <v>60</v>
      </c>
      <c r="S6" s="307" t="s">
        <v>69</v>
      </c>
      <c r="T6" s="307" t="s">
        <v>30</v>
      </c>
      <c r="U6" s="307" t="s">
        <v>27</v>
      </c>
      <c r="V6" s="307" t="str">
        <f t="shared" si="0"/>
        <v>Config - 228, KuxKu Link, UL Beam: WB-2, Ku RX-4, LCTWTA-5, DL Beam: WB-2</v>
      </c>
    </row>
    <row r="7" spans="1:22" ht="56.25" x14ac:dyDescent="0.25">
      <c r="A7" s="292">
        <v>229</v>
      </c>
      <c r="B7" s="297">
        <v>102</v>
      </c>
      <c r="C7" s="307">
        <v>14220</v>
      </c>
      <c r="D7" s="307">
        <v>11170</v>
      </c>
      <c r="E7" s="307" t="s">
        <v>27</v>
      </c>
      <c r="F7" s="307" t="s">
        <v>30</v>
      </c>
      <c r="G7" s="307" t="s">
        <v>75</v>
      </c>
      <c r="H7" s="307" t="s">
        <v>80</v>
      </c>
      <c r="I7" s="307" t="s">
        <v>527</v>
      </c>
      <c r="J7" s="307" t="s">
        <v>169</v>
      </c>
      <c r="K7" s="307" t="s">
        <v>77</v>
      </c>
      <c r="L7" s="307" t="s">
        <v>70</v>
      </c>
      <c r="M7" s="296"/>
      <c r="N7" s="296"/>
      <c r="O7" s="307" t="s">
        <v>56</v>
      </c>
      <c r="P7" s="307" t="s">
        <v>65</v>
      </c>
      <c r="Q7" s="307" t="s">
        <v>40</v>
      </c>
      <c r="R7" s="307" t="s">
        <v>61</v>
      </c>
      <c r="S7" s="307" t="s">
        <v>70</v>
      </c>
      <c r="T7" s="307" t="s">
        <v>30</v>
      </c>
      <c r="U7" s="307" t="s">
        <v>27</v>
      </c>
      <c r="V7" s="307" t="str">
        <f t="shared" si="0"/>
        <v>Config - 229, KuxKu Link, UL Beam: WB-2, Ku RX-4, LCTWTA-6, DL Beam: WB-2</v>
      </c>
    </row>
    <row r="8" spans="1:22" ht="75" x14ac:dyDescent="0.25">
      <c r="A8" s="298">
        <v>230</v>
      </c>
      <c r="B8" s="293">
        <v>97</v>
      </c>
      <c r="C8" s="307">
        <v>14020</v>
      </c>
      <c r="D8" s="307">
        <v>10970</v>
      </c>
      <c r="E8" s="307" t="s">
        <v>26</v>
      </c>
      <c r="F8" s="307" t="s">
        <v>30</v>
      </c>
      <c r="G8" s="307" t="s">
        <v>73</v>
      </c>
      <c r="H8" s="307" t="s">
        <v>320</v>
      </c>
      <c r="I8" s="307" t="s">
        <v>529</v>
      </c>
      <c r="J8" s="307" t="s">
        <v>440</v>
      </c>
      <c r="K8" s="307" t="s">
        <v>74</v>
      </c>
      <c r="L8" s="307" t="s">
        <v>442</v>
      </c>
      <c r="M8" s="295" t="s">
        <v>86</v>
      </c>
      <c r="N8" s="295" t="s">
        <v>88</v>
      </c>
      <c r="O8" s="307" t="s">
        <v>444</v>
      </c>
      <c r="P8" s="307" t="s">
        <v>62</v>
      </c>
      <c r="Q8" s="307" t="s">
        <v>446</v>
      </c>
      <c r="R8" s="307" t="s">
        <v>445</v>
      </c>
      <c r="S8" s="307" t="s">
        <v>67</v>
      </c>
      <c r="T8" s="307" t="s">
        <v>30</v>
      </c>
      <c r="U8" s="307" t="s">
        <v>26</v>
      </c>
      <c r="V8" s="307" t="str">
        <f t="shared" si="0"/>
        <v>Config - 230, KuxKu Link, UL Beam: WB-1, Ku RX-2, LCTWTA-R1, DL Beam: WB-1</v>
      </c>
    </row>
    <row r="9" spans="1:22" ht="56.25" x14ac:dyDescent="0.25">
      <c r="A9" s="298">
        <v>231</v>
      </c>
      <c r="B9" s="297">
        <v>102</v>
      </c>
      <c r="C9" s="307">
        <v>14220</v>
      </c>
      <c r="D9" s="307">
        <v>11170</v>
      </c>
      <c r="E9" s="307" t="s">
        <v>27</v>
      </c>
      <c r="F9" s="307" t="s">
        <v>30</v>
      </c>
      <c r="G9" s="307" t="s">
        <v>75</v>
      </c>
      <c r="H9" s="307" t="s">
        <v>443</v>
      </c>
      <c r="I9" s="307" t="s">
        <v>531</v>
      </c>
      <c r="J9" s="307" t="s">
        <v>441</v>
      </c>
      <c r="K9" s="307" t="s">
        <v>77</v>
      </c>
      <c r="L9" s="307" t="s">
        <v>251</v>
      </c>
      <c r="M9" s="296"/>
      <c r="N9" s="296"/>
      <c r="O9" s="307" t="s">
        <v>56</v>
      </c>
      <c r="P9" s="307" t="s">
        <v>84</v>
      </c>
      <c r="Q9" s="307" t="s">
        <v>449</v>
      </c>
      <c r="R9" s="307" t="s">
        <v>61</v>
      </c>
      <c r="S9" s="307" t="s">
        <v>68</v>
      </c>
      <c r="T9" s="307" t="s">
        <v>30</v>
      </c>
      <c r="U9" s="307" t="s">
        <v>27</v>
      </c>
      <c r="V9" s="307" t="str">
        <f t="shared" si="0"/>
        <v>Config - 231, KuxKu Link, UL Beam: WB-2, Ku RX-R2, LCTWTA-R2, DL Beam: WB-2</v>
      </c>
    </row>
  </sheetData>
  <autoFilter ref="A1:U9"/>
  <pageMargins left="0.7" right="0.7" top="0.75" bottom="0.75" header="0.3" footer="0.3"/>
  <pageSetup paperSize="8" scale="41" fitToHeight="0" orientation="landscape" horizontalDpi="1200" verticalDpi="12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97"/>
  <sheetViews>
    <sheetView topLeftCell="A4" zoomScale="115" zoomScaleNormal="115" workbookViewId="0">
      <selection activeCell="I4" sqref="I4:M35"/>
    </sheetView>
  </sheetViews>
  <sheetFormatPr defaultColWidth="9.140625" defaultRowHeight="15" x14ac:dyDescent="0.25"/>
  <cols>
    <col min="1" max="1" width="24.85546875" style="12" bestFit="1" customWidth="1"/>
    <col min="2" max="2" width="9.5703125" style="12" bestFit="1" customWidth="1"/>
    <col min="3" max="3" width="13.7109375" style="12" bestFit="1" customWidth="1"/>
    <col min="4" max="4" width="15" style="12" bestFit="1" customWidth="1"/>
    <col min="5" max="7" width="9.140625" style="12"/>
    <col min="8" max="8" width="10.7109375" style="12" bestFit="1" customWidth="1"/>
    <col min="9" max="9" width="12.5703125" style="12" bestFit="1" customWidth="1"/>
    <col min="10" max="10" width="10.7109375" style="12" bestFit="1" customWidth="1"/>
    <col min="11" max="12" width="8.42578125" style="12" bestFit="1" customWidth="1"/>
    <col min="13" max="13" width="10.7109375" style="12" bestFit="1" customWidth="1"/>
    <col min="14" max="14" width="9.140625" style="12"/>
    <col min="15" max="15" width="9.140625" style="19"/>
    <col min="16" max="16" width="9.7109375" style="12" bestFit="1" customWidth="1"/>
    <col min="17" max="17" width="10" style="12" bestFit="1" customWidth="1"/>
    <col min="18" max="18" width="10.5703125" style="66" customWidth="1"/>
    <col min="19" max="19" width="10.5703125" style="111" customWidth="1"/>
    <col min="20" max="20" width="11.28515625" style="12" customWidth="1"/>
    <col min="21" max="21" width="28.42578125" style="23" bestFit="1" customWidth="1"/>
    <col min="22" max="23" width="11.28515625" style="23" customWidth="1"/>
    <col min="24" max="24" width="11.28515625" style="19" customWidth="1"/>
    <col min="25" max="25" width="10.7109375" style="19" bestFit="1" customWidth="1"/>
    <col min="26" max="27" width="10.7109375" style="19" customWidth="1"/>
    <col min="28" max="28" width="10.7109375" style="19" bestFit="1" customWidth="1"/>
    <col min="29" max="29" width="11.28515625" style="19" customWidth="1"/>
    <col min="30" max="30" width="10.7109375" style="19" bestFit="1" customWidth="1"/>
    <col min="31" max="31" width="10.7109375" style="19" customWidth="1"/>
    <col min="32" max="32" width="9.140625" style="19"/>
    <col min="33" max="33" width="9.140625" style="12"/>
    <col min="34" max="34" width="22" style="12" bestFit="1" customWidth="1"/>
    <col min="35" max="16384" width="9.140625" style="12"/>
  </cols>
  <sheetData>
    <row r="1" spans="1:31" s="13" customFormat="1" x14ac:dyDescent="0.25">
      <c r="A1" s="142"/>
      <c r="B1" s="142"/>
      <c r="C1" s="142"/>
      <c r="D1" s="142"/>
      <c r="E1" s="143"/>
    </row>
    <row r="2" spans="1:31" x14ac:dyDescent="0.25">
      <c r="A2" s="144"/>
      <c r="B2" s="144"/>
      <c r="C2" s="144"/>
      <c r="D2" s="144"/>
      <c r="E2" s="21"/>
    </row>
    <row r="3" spans="1:31" ht="15.75" thickBot="1" x14ac:dyDescent="0.3">
      <c r="A3" s="144"/>
      <c r="B3" s="144"/>
      <c r="C3" s="144"/>
      <c r="D3" s="144"/>
      <c r="E3" s="21"/>
    </row>
    <row r="4" spans="1:31" x14ac:dyDescent="0.25">
      <c r="A4" s="144"/>
      <c r="B4" s="144"/>
      <c r="C4" s="144"/>
      <c r="D4" s="144"/>
      <c r="E4" s="21"/>
      <c r="I4" s="478" t="s">
        <v>584</v>
      </c>
      <c r="J4" s="479"/>
      <c r="K4" s="479"/>
      <c r="L4" s="479"/>
      <c r="M4" s="480"/>
    </row>
    <row r="5" spans="1:31" ht="15.75" thickBot="1" x14ac:dyDescent="0.3">
      <c r="A5" s="144"/>
      <c r="B5" s="144"/>
      <c r="C5" s="144"/>
      <c r="D5" s="144"/>
      <c r="E5" s="21"/>
      <c r="I5" s="481"/>
      <c r="J5" s="482"/>
      <c r="K5" s="482"/>
      <c r="L5" s="482"/>
      <c r="M5" s="483"/>
    </row>
    <row r="6" spans="1:31" x14ac:dyDescent="0.25">
      <c r="A6" s="144"/>
      <c r="B6" s="144"/>
      <c r="C6" s="144"/>
      <c r="D6" s="144"/>
      <c r="E6" s="21"/>
      <c r="I6" s="32"/>
      <c r="J6" s="33">
        <v>4</v>
      </c>
      <c r="K6" s="33">
        <v>4</v>
      </c>
      <c r="L6" s="33">
        <v>4</v>
      </c>
      <c r="M6" s="34">
        <v>4</v>
      </c>
    </row>
    <row r="7" spans="1:31" x14ac:dyDescent="0.25">
      <c r="A7" s="144"/>
      <c r="B7" s="144"/>
      <c r="C7" s="144"/>
      <c r="D7" s="144"/>
      <c r="E7" s="21"/>
      <c r="I7" s="35"/>
      <c r="J7" s="30"/>
      <c r="K7" s="30"/>
      <c r="L7" s="30"/>
      <c r="M7" s="36"/>
    </row>
    <row r="8" spans="1:31" x14ac:dyDescent="0.25">
      <c r="A8" s="144"/>
      <c r="B8" s="144"/>
      <c r="C8" s="144"/>
      <c r="D8" s="144"/>
      <c r="E8" s="21"/>
      <c r="I8" s="35"/>
      <c r="J8" s="30" t="s">
        <v>122</v>
      </c>
      <c r="K8" s="30"/>
      <c r="L8" s="30" t="s">
        <v>123</v>
      </c>
      <c r="M8" s="36"/>
    </row>
    <row r="9" spans="1:31" x14ac:dyDescent="0.25">
      <c r="A9" s="144"/>
      <c r="B9" s="144"/>
      <c r="C9" s="144"/>
      <c r="D9" s="144"/>
      <c r="E9" s="21"/>
      <c r="I9" s="35"/>
      <c r="J9" s="30"/>
      <c r="K9" s="30"/>
      <c r="L9" s="30"/>
      <c r="M9" s="36"/>
    </row>
    <row r="10" spans="1:31" x14ac:dyDescent="0.25">
      <c r="I10" s="35" t="s">
        <v>173</v>
      </c>
      <c r="J10" s="30" t="s">
        <v>113</v>
      </c>
      <c r="K10" s="30" t="s">
        <v>111</v>
      </c>
      <c r="L10" s="30" t="s">
        <v>112</v>
      </c>
      <c r="M10" s="36" t="s">
        <v>113</v>
      </c>
      <c r="Y10" s="22">
        <f>SUM(J6:M6)</f>
        <v>16</v>
      </c>
      <c r="Z10" s="22"/>
      <c r="AA10" s="22"/>
      <c r="AD10" s="22">
        <f>SUM(O10:T10)</f>
        <v>0</v>
      </c>
      <c r="AE10" s="22"/>
    </row>
    <row r="11" spans="1:31" x14ac:dyDescent="0.25">
      <c r="I11" s="35" t="s">
        <v>107</v>
      </c>
      <c r="J11" s="26">
        <v>1</v>
      </c>
      <c r="K11" s="26" t="s">
        <v>114</v>
      </c>
      <c r="L11" s="27">
        <v>1</v>
      </c>
      <c r="M11" s="37">
        <v>1</v>
      </c>
    </row>
    <row r="12" spans="1:31" x14ac:dyDescent="0.25">
      <c r="I12" s="35" t="s">
        <v>108</v>
      </c>
      <c r="J12" s="26">
        <v>2</v>
      </c>
      <c r="K12" s="30">
        <v>3</v>
      </c>
      <c r="L12" s="27" t="s">
        <v>114</v>
      </c>
      <c r="M12" s="36">
        <v>2</v>
      </c>
    </row>
    <row r="13" spans="1:31" x14ac:dyDescent="0.25">
      <c r="I13" s="35" t="s">
        <v>109</v>
      </c>
      <c r="J13" s="26">
        <v>3</v>
      </c>
      <c r="K13" s="26" t="s">
        <v>115</v>
      </c>
      <c r="L13" s="30">
        <v>2</v>
      </c>
      <c r="M13" s="37">
        <v>3</v>
      </c>
      <c r="U13" s="139" t="s">
        <v>347</v>
      </c>
    </row>
    <row r="14" spans="1:31" x14ac:dyDescent="0.25">
      <c r="I14" s="35" t="s">
        <v>110</v>
      </c>
      <c r="J14" s="30">
        <v>4</v>
      </c>
      <c r="K14" s="26">
        <v>4</v>
      </c>
      <c r="L14" s="27" t="s">
        <v>115</v>
      </c>
      <c r="M14" s="37">
        <v>4</v>
      </c>
      <c r="U14" s="160" t="s">
        <v>348</v>
      </c>
    </row>
    <row r="15" spans="1:31" x14ac:dyDescent="0.25">
      <c r="I15" s="35"/>
      <c r="J15" s="30"/>
      <c r="K15" s="30"/>
      <c r="L15" s="30"/>
      <c r="M15" s="36"/>
      <c r="U15" s="484" t="s">
        <v>285</v>
      </c>
      <c r="V15" s="484"/>
      <c r="W15" s="484"/>
    </row>
    <row r="16" spans="1:31" x14ac:dyDescent="0.25">
      <c r="I16" s="35" t="s">
        <v>178</v>
      </c>
      <c r="J16" s="30">
        <v>1</v>
      </c>
      <c r="K16" s="30">
        <v>2</v>
      </c>
      <c r="L16" s="30">
        <v>2</v>
      </c>
      <c r="M16" s="36">
        <v>1</v>
      </c>
      <c r="N16" s="12" t="s">
        <v>179</v>
      </c>
      <c r="U16" s="484"/>
      <c r="V16" s="484"/>
      <c r="W16" s="484"/>
    </row>
    <row r="17" spans="9:23" x14ac:dyDescent="0.25">
      <c r="I17" s="35"/>
      <c r="J17" s="30"/>
      <c r="K17" s="30"/>
      <c r="L17" s="30"/>
      <c r="M17" s="36"/>
      <c r="U17" s="23" t="s">
        <v>191</v>
      </c>
      <c r="V17" s="23">
        <f>5*3</f>
        <v>15</v>
      </c>
    </row>
    <row r="18" spans="9:23" x14ac:dyDescent="0.25">
      <c r="I18" s="35" t="s">
        <v>124</v>
      </c>
      <c r="J18" s="30" t="s">
        <v>120</v>
      </c>
      <c r="K18" s="30" t="s">
        <v>121</v>
      </c>
      <c r="L18" s="30" t="s">
        <v>121</v>
      </c>
      <c r="M18" s="36" t="s">
        <v>120</v>
      </c>
      <c r="U18" s="139" t="s">
        <v>346</v>
      </c>
      <c r="V18" s="23">
        <v>3</v>
      </c>
      <c r="W18" s="23" t="s">
        <v>192</v>
      </c>
    </row>
    <row r="19" spans="9:23" x14ac:dyDescent="0.25">
      <c r="I19" s="35"/>
      <c r="J19" s="30"/>
      <c r="K19" s="30"/>
      <c r="L19" s="30"/>
      <c r="M19" s="36"/>
      <c r="U19" s="23" t="s">
        <v>193</v>
      </c>
      <c r="V19" s="23">
        <f>1*3</f>
        <v>3</v>
      </c>
      <c r="W19" s="23" t="s">
        <v>192</v>
      </c>
    </row>
    <row r="20" spans="9:23" x14ac:dyDescent="0.25">
      <c r="I20" s="35" t="s">
        <v>116</v>
      </c>
      <c r="J20" s="30" t="s">
        <v>120</v>
      </c>
      <c r="K20" s="30" t="s">
        <v>120</v>
      </c>
      <c r="L20" s="30" t="s">
        <v>121</v>
      </c>
      <c r="M20" s="36" t="s">
        <v>121</v>
      </c>
    </row>
    <row r="21" spans="9:23" x14ac:dyDescent="0.25">
      <c r="I21" s="35" t="s">
        <v>117</v>
      </c>
      <c r="J21" s="26" t="s">
        <v>120</v>
      </c>
      <c r="K21" s="26" t="s">
        <v>120</v>
      </c>
      <c r="L21" s="27" t="s">
        <v>121</v>
      </c>
      <c r="M21" s="37" t="s">
        <v>121</v>
      </c>
      <c r="V21" s="23">
        <f>SUM(V17:V19)</f>
        <v>21</v>
      </c>
    </row>
    <row r="22" spans="9:23" x14ac:dyDescent="0.25">
      <c r="I22" s="35" t="s">
        <v>118</v>
      </c>
      <c r="J22" s="30" t="s">
        <v>120</v>
      </c>
      <c r="K22" s="30" t="s">
        <v>120</v>
      </c>
      <c r="L22" s="30" t="s">
        <v>121</v>
      </c>
      <c r="M22" s="36" t="s">
        <v>121</v>
      </c>
    </row>
    <row r="23" spans="9:23" x14ac:dyDescent="0.25">
      <c r="I23" s="35" t="s">
        <v>119</v>
      </c>
      <c r="J23" s="30" t="s">
        <v>120</v>
      </c>
      <c r="K23" s="30" t="s">
        <v>120</v>
      </c>
      <c r="L23" s="30" t="s">
        <v>121</v>
      </c>
      <c r="M23" s="36" t="s">
        <v>121</v>
      </c>
    </row>
    <row r="24" spans="9:23" x14ac:dyDescent="0.25">
      <c r="I24" s="35"/>
      <c r="J24" s="30"/>
      <c r="K24" s="30"/>
      <c r="L24" s="30"/>
      <c r="M24" s="36"/>
    </row>
    <row r="25" spans="9:23" x14ac:dyDescent="0.25">
      <c r="I25" s="35" t="s">
        <v>172</v>
      </c>
      <c r="J25" s="30" t="s">
        <v>120</v>
      </c>
      <c r="K25" s="30" t="s">
        <v>121</v>
      </c>
      <c r="L25" s="30" t="s">
        <v>121</v>
      </c>
      <c r="M25" s="36" t="s">
        <v>120</v>
      </c>
    </row>
    <row r="26" spans="9:23" x14ac:dyDescent="0.25">
      <c r="I26" s="35"/>
      <c r="J26" s="30"/>
      <c r="K26" s="30"/>
      <c r="L26" s="30"/>
      <c r="M26" s="36"/>
    </row>
    <row r="27" spans="9:23" x14ac:dyDescent="0.25">
      <c r="I27" s="35" t="s">
        <v>174</v>
      </c>
      <c r="J27" s="26">
        <v>1</v>
      </c>
      <c r="K27" s="26">
        <v>2</v>
      </c>
      <c r="L27" s="30">
        <v>1</v>
      </c>
      <c r="M27" s="36">
        <v>1</v>
      </c>
    </row>
    <row r="28" spans="9:23" x14ac:dyDescent="0.25">
      <c r="I28" s="35" t="s">
        <v>175</v>
      </c>
      <c r="J28" s="26">
        <v>2</v>
      </c>
      <c r="K28" s="26">
        <v>3</v>
      </c>
      <c r="L28" s="26">
        <v>1</v>
      </c>
      <c r="M28" s="36">
        <v>2</v>
      </c>
    </row>
    <row r="29" spans="9:23" x14ac:dyDescent="0.25">
      <c r="I29" s="35" t="s">
        <v>176</v>
      </c>
      <c r="J29" s="26">
        <v>2</v>
      </c>
      <c r="K29" s="26">
        <v>3</v>
      </c>
      <c r="L29" s="26">
        <v>1</v>
      </c>
      <c r="M29" s="36">
        <v>2</v>
      </c>
      <c r="Q29" s="103"/>
      <c r="R29" s="103"/>
      <c r="S29" s="103"/>
    </row>
    <row r="30" spans="9:23" x14ac:dyDescent="0.25">
      <c r="I30" s="35" t="s">
        <v>177</v>
      </c>
      <c r="J30" s="30">
        <v>3</v>
      </c>
      <c r="K30" s="30">
        <v>3</v>
      </c>
      <c r="L30" s="26">
        <v>2</v>
      </c>
      <c r="M30" s="38">
        <v>3</v>
      </c>
      <c r="Q30" s="104"/>
      <c r="R30" s="105"/>
      <c r="S30" s="105"/>
    </row>
    <row r="31" spans="9:23" x14ac:dyDescent="0.25">
      <c r="I31" s="35"/>
      <c r="J31" s="30"/>
      <c r="K31" s="30"/>
      <c r="L31" s="30"/>
      <c r="M31" s="36"/>
      <c r="Q31" s="469" t="s">
        <v>328</v>
      </c>
      <c r="R31" s="104" t="s">
        <v>325</v>
      </c>
      <c r="S31" s="105"/>
    </row>
    <row r="32" spans="9:23" x14ac:dyDescent="0.25">
      <c r="I32" s="35"/>
      <c r="J32" s="30"/>
      <c r="K32" s="30"/>
      <c r="L32" s="30"/>
      <c r="M32" s="36"/>
      <c r="Q32" s="469"/>
      <c r="R32" s="104" t="s">
        <v>326</v>
      </c>
      <c r="S32" s="105"/>
    </row>
    <row r="33" spans="8:34" x14ac:dyDescent="0.25">
      <c r="I33" s="35" t="s">
        <v>125</v>
      </c>
      <c r="J33" s="30" t="s">
        <v>120</v>
      </c>
      <c r="K33" s="30" t="s">
        <v>120</v>
      </c>
      <c r="L33" s="30" t="s">
        <v>121</v>
      </c>
      <c r="M33" s="36" t="s">
        <v>121</v>
      </c>
      <c r="Q33" s="469"/>
      <c r="R33" s="104" t="s">
        <v>327</v>
      </c>
      <c r="S33" s="105"/>
    </row>
    <row r="34" spans="8:34" x14ac:dyDescent="0.25">
      <c r="I34" s="35" t="s">
        <v>100</v>
      </c>
      <c r="J34" s="30" t="s">
        <v>120</v>
      </c>
      <c r="K34" s="30" t="s">
        <v>120</v>
      </c>
      <c r="L34" s="30" t="s">
        <v>121</v>
      </c>
      <c r="M34" s="36" t="s">
        <v>121</v>
      </c>
    </row>
    <row r="35" spans="8:34" ht="15.75" thickBot="1" x14ac:dyDescent="0.3">
      <c r="I35" s="51" t="s">
        <v>94</v>
      </c>
      <c r="J35" s="52" t="s">
        <v>120</v>
      </c>
      <c r="K35" s="52" t="s">
        <v>120</v>
      </c>
      <c r="L35" s="52" t="s">
        <v>121</v>
      </c>
      <c r="M35" s="53" t="s">
        <v>121</v>
      </c>
    </row>
    <row r="36" spans="8:34" x14ac:dyDescent="0.25">
      <c r="H36" s="478" t="s">
        <v>1</v>
      </c>
      <c r="I36" s="479"/>
      <c r="J36" s="479"/>
      <c r="K36" s="479"/>
      <c r="L36" s="479"/>
      <c r="M36" s="479"/>
      <c r="N36" s="479"/>
      <c r="O36" s="479"/>
      <c r="P36" s="479"/>
      <c r="Q36" s="479"/>
      <c r="R36" s="479"/>
      <c r="S36" s="479"/>
      <c r="T36" s="479"/>
      <c r="U36" s="479"/>
      <c r="V36" s="479"/>
      <c r="W36" s="479"/>
      <c r="X36" s="479"/>
      <c r="Y36" s="479"/>
      <c r="Z36" s="479"/>
      <c r="AA36" s="479"/>
      <c r="AB36" s="479"/>
      <c r="AC36" s="479"/>
      <c r="AD36" s="479"/>
      <c r="AE36" s="479"/>
      <c r="AF36" s="480"/>
    </row>
    <row r="37" spans="8:34" ht="15.75" thickBot="1" x14ac:dyDescent="0.3">
      <c r="H37" s="481"/>
      <c r="I37" s="482"/>
      <c r="J37" s="482"/>
      <c r="K37" s="482"/>
      <c r="L37" s="482"/>
      <c r="M37" s="482"/>
      <c r="N37" s="482"/>
      <c r="O37" s="482"/>
      <c r="P37" s="482"/>
      <c r="Q37" s="482"/>
      <c r="R37" s="482"/>
      <c r="S37" s="482"/>
      <c r="T37" s="482"/>
      <c r="U37" s="482"/>
      <c r="V37" s="482"/>
      <c r="W37" s="482"/>
      <c r="X37" s="482"/>
      <c r="Y37" s="482"/>
      <c r="Z37" s="482"/>
      <c r="AA37" s="482"/>
      <c r="AB37" s="482"/>
      <c r="AC37" s="482"/>
      <c r="AD37" s="482"/>
      <c r="AE37" s="482"/>
      <c r="AF37" s="483"/>
    </row>
    <row r="38" spans="8:34" x14ac:dyDescent="0.25">
      <c r="H38" s="32"/>
      <c r="I38" s="33"/>
      <c r="J38" s="33">
        <v>12</v>
      </c>
      <c r="K38" s="33">
        <v>12</v>
      </c>
      <c r="L38" s="33">
        <v>12</v>
      </c>
      <c r="M38" s="33">
        <v>12</v>
      </c>
      <c r="N38" s="33"/>
      <c r="O38" s="33"/>
      <c r="P38" s="106">
        <v>4</v>
      </c>
      <c r="Q38" s="106">
        <v>4</v>
      </c>
      <c r="R38" s="33">
        <v>4</v>
      </c>
      <c r="S38" s="153">
        <v>4</v>
      </c>
      <c r="T38" s="33"/>
      <c r="U38" s="33"/>
      <c r="V38" s="106">
        <v>4</v>
      </c>
      <c r="W38" s="106">
        <v>4</v>
      </c>
      <c r="X38" s="33"/>
      <c r="Y38" s="33">
        <v>4</v>
      </c>
      <c r="Z38" s="33">
        <v>4</v>
      </c>
      <c r="AA38" s="33">
        <v>4</v>
      </c>
      <c r="AB38" s="33">
        <v>4</v>
      </c>
      <c r="AC38" s="33"/>
      <c r="AD38" s="33">
        <v>2</v>
      </c>
      <c r="AE38" s="33">
        <v>2</v>
      </c>
      <c r="AF38" s="34"/>
      <c r="AH38" s="22">
        <f>SUM(J38:AE38)</f>
        <v>92</v>
      </c>
    </row>
    <row r="39" spans="8:34" ht="30" x14ac:dyDescent="0.25">
      <c r="H39" s="35"/>
      <c r="I39" s="30"/>
      <c r="J39" s="436" t="s">
        <v>113</v>
      </c>
      <c r="K39" s="436"/>
      <c r="L39" s="436"/>
      <c r="M39" s="436"/>
      <c r="N39" s="30"/>
      <c r="O39" s="30"/>
      <c r="P39" s="107" t="s">
        <v>111</v>
      </c>
      <c r="Q39" s="107" t="s">
        <v>143</v>
      </c>
      <c r="R39" s="102" t="s">
        <v>322</v>
      </c>
      <c r="S39" s="154" t="s">
        <v>113</v>
      </c>
      <c r="T39" s="42" t="s">
        <v>112</v>
      </c>
      <c r="U39" s="42"/>
      <c r="V39" s="107" t="s">
        <v>111</v>
      </c>
      <c r="W39" s="107" t="s">
        <v>143</v>
      </c>
      <c r="X39" s="42"/>
      <c r="Y39" s="436" t="s">
        <v>113</v>
      </c>
      <c r="Z39" s="436"/>
      <c r="AA39" s="436"/>
      <c r="AB39" s="436"/>
      <c r="AC39" s="42"/>
      <c r="AD39" s="436" t="s">
        <v>113</v>
      </c>
      <c r="AE39" s="436"/>
      <c r="AF39" s="36"/>
      <c r="AH39" s="12" t="s">
        <v>194</v>
      </c>
    </row>
    <row r="40" spans="8:34" x14ac:dyDescent="0.25">
      <c r="H40" s="35"/>
      <c r="I40" s="30"/>
      <c r="J40" s="30" t="s">
        <v>127</v>
      </c>
      <c r="K40" s="30" t="s">
        <v>126</v>
      </c>
      <c r="L40" s="30" t="s">
        <v>128</v>
      </c>
      <c r="M40" s="30" t="s">
        <v>129</v>
      </c>
      <c r="N40" s="30"/>
      <c r="O40" s="30"/>
      <c r="P40" s="43" t="s">
        <v>127</v>
      </c>
      <c r="Q40" s="43" t="s">
        <v>129</v>
      </c>
      <c r="R40" s="70" t="s">
        <v>129</v>
      </c>
      <c r="S40" s="155" t="s">
        <v>127</v>
      </c>
      <c r="T40" s="30"/>
      <c r="U40" s="30"/>
      <c r="V40" s="43" t="s">
        <v>127</v>
      </c>
      <c r="W40" s="43" t="s">
        <v>129</v>
      </c>
      <c r="X40" s="30"/>
      <c r="Y40" s="43" t="s">
        <v>127</v>
      </c>
      <c r="Z40" s="43" t="s">
        <v>129</v>
      </c>
      <c r="AA40" s="30" t="s">
        <v>127</v>
      </c>
      <c r="AB40" s="30" t="s">
        <v>129</v>
      </c>
      <c r="AC40" s="30"/>
      <c r="AD40" s="30" t="s">
        <v>129</v>
      </c>
      <c r="AE40" s="30" t="s">
        <v>127</v>
      </c>
      <c r="AF40" s="36"/>
    </row>
    <row r="41" spans="8:34" x14ac:dyDescent="0.25">
      <c r="H41" s="35"/>
      <c r="I41" s="30"/>
      <c r="J41" s="30"/>
      <c r="K41" s="30"/>
      <c r="L41" s="30"/>
      <c r="M41" s="30"/>
      <c r="N41" s="30"/>
      <c r="O41" s="30"/>
      <c r="P41" s="30"/>
      <c r="Q41" s="30"/>
      <c r="R41" s="70" t="s">
        <v>329</v>
      </c>
      <c r="S41" s="155" t="s">
        <v>349</v>
      </c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6"/>
    </row>
    <row r="42" spans="8:34" x14ac:dyDescent="0.25">
      <c r="H42" s="50">
        <v>1</v>
      </c>
      <c r="I42" s="30" t="s">
        <v>130</v>
      </c>
      <c r="J42" s="44"/>
      <c r="K42" s="45"/>
      <c r="L42" s="30"/>
      <c r="M42" s="30"/>
      <c r="N42" s="30"/>
      <c r="O42" s="30"/>
      <c r="P42" s="26" t="s">
        <v>114</v>
      </c>
      <c r="Q42" s="30" t="s">
        <v>114</v>
      </c>
      <c r="R42" s="68" t="s">
        <v>16</v>
      </c>
      <c r="S42" s="156">
        <v>2</v>
      </c>
      <c r="T42" s="485" t="s">
        <v>155</v>
      </c>
      <c r="U42" s="15"/>
      <c r="V42" s="26" t="s">
        <v>114</v>
      </c>
      <c r="W42" s="30" t="s">
        <v>114</v>
      </c>
      <c r="X42" s="15"/>
      <c r="Y42" s="26">
        <v>1</v>
      </c>
      <c r="Z42" s="26">
        <v>1</v>
      </c>
      <c r="AA42" s="26">
        <v>1</v>
      </c>
      <c r="AB42" s="26">
        <v>1</v>
      </c>
      <c r="AC42" s="15"/>
      <c r="AD42" s="26">
        <v>1</v>
      </c>
      <c r="AE42" s="26">
        <v>1</v>
      </c>
      <c r="AF42" s="36"/>
    </row>
    <row r="43" spans="8:34" x14ac:dyDescent="0.25">
      <c r="H43" s="50">
        <v>2</v>
      </c>
      <c r="I43" s="30" t="s">
        <v>131</v>
      </c>
      <c r="J43" s="44"/>
      <c r="K43" s="45"/>
      <c r="L43" s="30"/>
      <c r="M43" s="45"/>
      <c r="N43" s="30"/>
      <c r="O43" s="30"/>
      <c r="P43" s="26">
        <v>3</v>
      </c>
      <c r="Q43" s="141">
        <v>1</v>
      </c>
      <c r="R43" s="68">
        <v>1</v>
      </c>
      <c r="S43" s="156">
        <v>3</v>
      </c>
      <c r="T43" s="485"/>
      <c r="U43" s="15"/>
      <c r="V43" s="26">
        <v>3</v>
      </c>
      <c r="W43" s="26">
        <v>1</v>
      </c>
      <c r="X43" s="15"/>
      <c r="Y43" s="26">
        <v>2</v>
      </c>
      <c r="Z43" s="26">
        <v>2</v>
      </c>
      <c r="AA43" s="26">
        <v>2</v>
      </c>
      <c r="AB43" s="26">
        <v>2</v>
      </c>
      <c r="AC43" s="15"/>
      <c r="AD43" s="26">
        <v>2</v>
      </c>
      <c r="AE43" s="26">
        <v>2</v>
      </c>
      <c r="AF43" s="36"/>
    </row>
    <row r="44" spans="8:34" x14ac:dyDescent="0.25">
      <c r="H44" s="50">
        <v>3</v>
      </c>
      <c r="I44" s="30" t="s">
        <v>132</v>
      </c>
      <c r="J44" s="30"/>
      <c r="K44" s="30"/>
      <c r="L44" s="45"/>
      <c r="M44" s="44"/>
      <c r="N44" s="30"/>
      <c r="O44" s="30"/>
      <c r="P44" s="140">
        <v>4</v>
      </c>
      <c r="Q44" s="26">
        <v>2</v>
      </c>
      <c r="R44" s="68">
        <v>2</v>
      </c>
      <c r="S44" s="156" t="s">
        <v>16</v>
      </c>
      <c r="T44" s="485"/>
      <c r="U44" s="15"/>
      <c r="V44" s="26">
        <v>4</v>
      </c>
      <c r="W44" s="26">
        <v>2</v>
      </c>
      <c r="X44" s="15"/>
      <c r="Y44" s="26">
        <v>3</v>
      </c>
      <c r="Z44" s="26">
        <v>3</v>
      </c>
      <c r="AA44" s="26">
        <v>3</v>
      </c>
      <c r="AB44" s="26">
        <v>3</v>
      </c>
      <c r="AC44" s="15"/>
      <c r="AD44" s="26">
        <v>3</v>
      </c>
      <c r="AE44" s="26">
        <v>3</v>
      </c>
      <c r="AF44" s="36"/>
    </row>
    <row r="45" spans="8:34" x14ac:dyDescent="0.25">
      <c r="H45" s="50">
        <v>4</v>
      </c>
      <c r="I45" s="30" t="s">
        <v>133</v>
      </c>
      <c r="J45" s="44"/>
      <c r="K45" s="45"/>
      <c r="L45" s="45"/>
      <c r="M45" s="30"/>
      <c r="N45" s="30"/>
      <c r="O45" s="30"/>
      <c r="P45" s="26">
        <v>5</v>
      </c>
      <c r="Q45" s="26">
        <v>3</v>
      </c>
      <c r="R45" s="68">
        <v>5</v>
      </c>
      <c r="S45" s="156">
        <v>5</v>
      </c>
      <c r="T45" s="485"/>
      <c r="U45" s="15"/>
      <c r="V45" s="26">
        <v>5</v>
      </c>
      <c r="W45" s="26">
        <v>3</v>
      </c>
      <c r="X45" s="15"/>
      <c r="Y45" s="26">
        <v>4</v>
      </c>
      <c r="Z45" s="26">
        <v>4</v>
      </c>
      <c r="AA45" s="26">
        <v>4</v>
      </c>
      <c r="AB45" s="26">
        <v>4</v>
      </c>
      <c r="AC45" s="15"/>
      <c r="AD45" s="26">
        <v>4</v>
      </c>
      <c r="AE45" s="26">
        <v>4</v>
      </c>
      <c r="AF45" s="36"/>
    </row>
    <row r="46" spans="8:34" x14ac:dyDescent="0.25">
      <c r="H46" s="50">
        <v>5</v>
      </c>
      <c r="I46" s="30" t="s">
        <v>134</v>
      </c>
      <c r="J46" s="30"/>
      <c r="K46" s="30"/>
      <c r="L46" s="30"/>
      <c r="M46" s="44"/>
      <c r="N46" s="30"/>
      <c r="O46" s="30"/>
      <c r="P46" s="26">
        <v>6</v>
      </c>
      <c r="Q46" s="26">
        <v>4</v>
      </c>
      <c r="R46" s="68">
        <v>6</v>
      </c>
      <c r="S46" s="156" t="s">
        <v>16</v>
      </c>
      <c r="T46" s="485"/>
      <c r="U46" s="15"/>
      <c r="V46" s="26">
        <v>6</v>
      </c>
      <c r="W46" s="26">
        <v>4</v>
      </c>
      <c r="X46" s="15"/>
      <c r="Y46" s="26">
        <v>5</v>
      </c>
      <c r="Z46" s="26">
        <v>5</v>
      </c>
      <c r="AA46" s="26">
        <v>5</v>
      </c>
      <c r="AB46" s="26">
        <v>5</v>
      </c>
      <c r="AC46" s="15"/>
      <c r="AD46" s="26">
        <v>5</v>
      </c>
      <c r="AE46" s="26">
        <v>5</v>
      </c>
      <c r="AF46" s="36"/>
    </row>
    <row r="47" spans="8:34" x14ac:dyDescent="0.25">
      <c r="H47" s="50">
        <v>6</v>
      </c>
      <c r="I47" s="30" t="s">
        <v>135</v>
      </c>
      <c r="J47" s="46"/>
      <c r="K47" s="46"/>
      <c r="L47" s="46"/>
      <c r="M47" s="46"/>
      <c r="N47" s="30"/>
      <c r="O47" s="30"/>
      <c r="P47" s="26" t="s">
        <v>115</v>
      </c>
      <c r="Q47" s="30" t="s">
        <v>115</v>
      </c>
      <c r="R47" s="68" t="s">
        <v>16</v>
      </c>
      <c r="S47" s="156" t="s">
        <v>16</v>
      </c>
      <c r="T47" s="485"/>
      <c r="U47" s="15"/>
      <c r="V47" s="26" t="s">
        <v>115</v>
      </c>
      <c r="W47" s="30" t="s">
        <v>115</v>
      </c>
      <c r="X47" s="15"/>
      <c r="Y47" s="26">
        <v>6</v>
      </c>
      <c r="Z47" s="26">
        <v>6</v>
      </c>
      <c r="AA47" s="26">
        <v>6</v>
      </c>
      <c r="AB47" s="26">
        <v>6</v>
      </c>
      <c r="AC47" s="15"/>
      <c r="AD47" s="26">
        <v>6</v>
      </c>
      <c r="AE47" s="26">
        <v>6</v>
      </c>
      <c r="AF47" s="36"/>
    </row>
    <row r="48" spans="8:34" x14ac:dyDescent="0.25">
      <c r="H48" s="35"/>
      <c r="I48" s="30"/>
      <c r="J48" s="30"/>
      <c r="K48" s="30"/>
      <c r="L48" s="30"/>
      <c r="M48" s="30"/>
      <c r="N48" s="30"/>
      <c r="O48" s="30"/>
      <c r="P48" s="30"/>
      <c r="Q48" s="30"/>
      <c r="R48" s="70"/>
      <c r="S48" s="155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6"/>
    </row>
    <row r="49" spans="8:32" x14ac:dyDescent="0.25">
      <c r="H49" s="35"/>
      <c r="I49" s="30"/>
      <c r="J49" s="30"/>
      <c r="K49" s="30"/>
      <c r="L49" s="30"/>
      <c r="M49" s="30"/>
      <c r="N49" s="30"/>
      <c r="O49" s="30"/>
      <c r="P49" s="30"/>
      <c r="Q49" s="30"/>
      <c r="R49" s="70"/>
      <c r="S49" s="155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6"/>
    </row>
    <row r="50" spans="8:32" x14ac:dyDescent="0.25">
      <c r="H50" s="35"/>
      <c r="I50" s="30" t="s">
        <v>124</v>
      </c>
      <c r="J50" s="30" t="s">
        <v>136</v>
      </c>
      <c r="K50" s="30" t="s">
        <v>136</v>
      </c>
      <c r="L50" s="30" t="s">
        <v>137</v>
      </c>
      <c r="M50" s="30" t="s">
        <v>138</v>
      </c>
      <c r="N50" s="30"/>
      <c r="O50" s="30"/>
      <c r="P50" s="47" t="s">
        <v>156</v>
      </c>
      <c r="Q50" s="47" t="s">
        <v>157</v>
      </c>
      <c r="R50" s="47" t="s">
        <v>230</v>
      </c>
      <c r="S50" s="155" t="s">
        <v>138</v>
      </c>
      <c r="T50" s="30"/>
      <c r="U50" s="30"/>
      <c r="V50" s="47" t="s">
        <v>156</v>
      </c>
      <c r="W50" s="47" t="s">
        <v>157</v>
      </c>
      <c r="X50" s="30"/>
      <c r="Y50" s="30" t="s">
        <v>136</v>
      </c>
      <c r="Z50" s="30" t="s">
        <v>138</v>
      </c>
      <c r="AA50" s="30" t="s">
        <v>136</v>
      </c>
      <c r="AB50" s="30" t="s">
        <v>138</v>
      </c>
      <c r="AC50" s="30"/>
      <c r="AD50" s="30" t="s">
        <v>136</v>
      </c>
      <c r="AE50" s="30" t="s">
        <v>138</v>
      </c>
      <c r="AF50" s="36"/>
    </row>
    <row r="51" spans="8:32" x14ac:dyDescent="0.25">
      <c r="H51" s="35"/>
      <c r="I51" s="30"/>
      <c r="J51" s="30"/>
      <c r="K51" s="30"/>
      <c r="L51" s="30"/>
      <c r="M51" s="30"/>
      <c r="N51" s="30"/>
      <c r="O51" s="30"/>
      <c r="P51" s="30"/>
      <c r="Q51" s="30"/>
      <c r="R51" s="70"/>
      <c r="S51" s="155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6"/>
    </row>
    <row r="52" spans="8:32" x14ac:dyDescent="0.25">
      <c r="H52" s="35"/>
      <c r="I52" s="30" t="s">
        <v>116</v>
      </c>
      <c r="J52" s="30" t="s">
        <v>120</v>
      </c>
      <c r="K52" s="30" t="s">
        <v>120</v>
      </c>
      <c r="L52" s="30" t="s">
        <v>120</v>
      </c>
      <c r="M52" s="30" t="s">
        <v>120</v>
      </c>
      <c r="N52" s="30"/>
      <c r="O52" s="30"/>
      <c r="P52" s="30" t="s">
        <v>120</v>
      </c>
      <c r="Q52" s="30" t="s">
        <v>120</v>
      </c>
      <c r="R52" s="70" t="s">
        <v>120</v>
      </c>
      <c r="S52" s="155" t="s">
        <v>120</v>
      </c>
      <c r="T52" s="30"/>
      <c r="U52" s="30"/>
      <c r="V52" s="30" t="s">
        <v>121</v>
      </c>
      <c r="W52" s="30" t="s">
        <v>121</v>
      </c>
      <c r="X52" s="30"/>
      <c r="Y52" s="30" t="s">
        <v>121</v>
      </c>
      <c r="Z52" s="30" t="s">
        <v>121</v>
      </c>
      <c r="AA52" s="30" t="s">
        <v>121</v>
      </c>
      <c r="AB52" s="30" t="s">
        <v>121</v>
      </c>
      <c r="AC52" s="30"/>
      <c r="AD52" s="30" t="s">
        <v>120</v>
      </c>
      <c r="AE52" s="30" t="s">
        <v>120</v>
      </c>
      <c r="AF52" s="36"/>
    </row>
    <row r="53" spans="8:32" x14ac:dyDescent="0.25">
      <c r="H53" s="35"/>
      <c r="I53" s="30" t="s">
        <v>117</v>
      </c>
      <c r="J53" s="48" t="s">
        <v>120</v>
      </c>
      <c r="K53" s="48" t="s">
        <v>120</v>
      </c>
      <c r="L53" s="48" t="s">
        <v>120</v>
      </c>
      <c r="M53" s="48" t="s">
        <v>120</v>
      </c>
      <c r="N53" s="30"/>
      <c r="O53" s="30"/>
      <c r="P53" s="48" t="s">
        <v>120</v>
      </c>
      <c r="Q53" s="48" t="s">
        <v>120</v>
      </c>
      <c r="R53" s="48" t="s">
        <v>120</v>
      </c>
      <c r="S53" s="157" t="s">
        <v>120</v>
      </c>
      <c r="T53" s="30"/>
      <c r="U53" s="30"/>
      <c r="V53" s="48" t="s">
        <v>121</v>
      </c>
      <c r="W53" s="48" t="s">
        <v>121</v>
      </c>
      <c r="X53" s="30"/>
      <c r="Y53" s="30" t="s">
        <v>121</v>
      </c>
      <c r="Z53" s="30" t="s">
        <v>121</v>
      </c>
      <c r="AA53" s="30" t="s">
        <v>121</v>
      </c>
      <c r="AB53" s="30" t="s">
        <v>121</v>
      </c>
      <c r="AC53" s="30"/>
      <c r="AD53" s="48" t="s">
        <v>120</v>
      </c>
      <c r="AE53" s="48" t="s">
        <v>120</v>
      </c>
      <c r="AF53" s="36"/>
    </row>
    <row r="54" spans="8:32" x14ac:dyDescent="0.25">
      <c r="H54" s="35"/>
      <c r="I54" s="30" t="s">
        <v>118</v>
      </c>
      <c r="J54" s="30" t="s">
        <v>120</v>
      </c>
      <c r="K54" s="30" t="s">
        <v>120</v>
      </c>
      <c r="L54" s="30" t="s">
        <v>120</v>
      </c>
      <c r="M54" s="30" t="s">
        <v>120</v>
      </c>
      <c r="N54" s="30"/>
      <c r="O54" s="30"/>
      <c r="P54" s="30" t="s">
        <v>120</v>
      </c>
      <c r="Q54" s="30" t="s">
        <v>120</v>
      </c>
      <c r="R54" s="70" t="s">
        <v>120</v>
      </c>
      <c r="S54" s="155" t="s">
        <v>120</v>
      </c>
      <c r="T54" s="30"/>
      <c r="U54" s="30"/>
      <c r="V54" s="30" t="s">
        <v>121</v>
      </c>
      <c r="W54" s="30" t="s">
        <v>121</v>
      </c>
      <c r="X54" s="30"/>
      <c r="Y54" s="30" t="s">
        <v>121</v>
      </c>
      <c r="Z54" s="30" t="s">
        <v>121</v>
      </c>
      <c r="AA54" s="30" t="s">
        <v>121</v>
      </c>
      <c r="AB54" s="30" t="s">
        <v>121</v>
      </c>
      <c r="AC54" s="30"/>
      <c r="AD54" s="30" t="s">
        <v>120</v>
      </c>
      <c r="AE54" s="30" t="s">
        <v>120</v>
      </c>
      <c r="AF54" s="36"/>
    </row>
    <row r="55" spans="8:32" x14ac:dyDescent="0.25">
      <c r="H55" s="35"/>
      <c r="I55" s="30" t="s">
        <v>119</v>
      </c>
      <c r="J55" s="30" t="s">
        <v>120</v>
      </c>
      <c r="K55" s="30" t="s">
        <v>120</v>
      </c>
      <c r="L55" s="30" t="s">
        <v>120</v>
      </c>
      <c r="M55" s="30" t="s">
        <v>120</v>
      </c>
      <c r="N55" s="30"/>
      <c r="O55" s="30"/>
      <c r="P55" s="30" t="s">
        <v>120</v>
      </c>
      <c r="Q55" s="30" t="s">
        <v>120</v>
      </c>
      <c r="R55" s="70" t="s">
        <v>120</v>
      </c>
      <c r="S55" s="155" t="s">
        <v>120</v>
      </c>
      <c r="T55" s="30"/>
      <c r="U55" s="30"/>
      <c r="V55" s="48" t="s">
        <v>121</v>
      </c>
      <c r="W55" s="48" t="s">
        <v>121</v>
      </c>
      <c r="X55" s="30"/>
      <c r="Y55" s="30" t="s">
        <v>121</v>
      </c>
      <c r="Z55" s="30" t="s">
        <v>121</v>
      </c>
      <c r="AA55" s="30" t="s">
        <v>121</v>
      </c>
      <c r="AB55" s="30" t="s">
        <v>121</v>
      </c>
      <c r="AC55" s="30"/>
      <c r="AD55" s="30" t="s">
        <v>120</v>
      </c>
      <c r="AE55" s="30" t="s">
        <v>120</v>
      </c>
      <c r="AF55" s="36"/>
    </row>
    <row r="56" spans="8:32" x14ac:dyDescent="0.25">
      <c r="H56" s="35"/>
      <c r="I56" s="30"/>
      <c r="J56" s="30"/>
      <c r="K56" s="30"/>
      <c r="L56" s="30"/>
      <c r="M56" s="30"/>
      <c r="N56" s="30"/>
      <c r="O56" s="30"/>
      <c r="P56" s="30"/>
      <c r="Q56" s="30"/>
      <c r="R56" s="70"/>
      <c r="S56" s="155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6"/>
    </row>
    <row r="57" spans="8:32" x14ac:dyDescent="0.25">
      <c r="H57" s="35"/>
      <c r="I57" s="30" t="s">
        <v>139</v>
      </c>
      <c r="J57" s="48" t="s">
        <v>120</v>
      </c>
      <c r="K57" s="48" t="s">
        <v>120</v>
      </c>
      <c r="L57" s="48" t="s">
        <v>120</v>
      </c>
      <c r="M57" s="48" t="s">
        <v>120</v>
      </c>
      <c r="N57" s="30"/>
      <c r="O57" s="30"/>
      <c r="P57" s="48" t="s">
        <v>120</v>
      </c>
      <c r="Q57" s="48" t="s">
        <v>120</v>
      </c>
      <c r="R57" s="48" t="s">
        <v>120</v>
      </c>
      <c r="S57" s="157" t="s">
        <v>120</v>
      </c>
      <c r="T57" s="30"/>
      <c r="U57" s="30"/>
      <c r="V57" s="48" t="s">
        <v>120</v>
      </c>
      <c r="W57" s="48" t="s">
        <v>120</v>
      </c>
      <c r="X57" s="30"/>
      <c r="Y57" s="30" t="s">
        <v>121</v>
      </c>
      <c r="Z57" s="30" t="s">
        <v>121</v>
      </c>
      <c r="AA57" s="30" t="s">
        <v>121</v>
      </c>
      <c r="AB57" s="30" t="s">
        <v>121</v>
      </c>
      <c r="AC57" s="30"/>
      <c r="AD57" s="48" t="s">
        <v>120</v>
      </c>
      <c r="AE57" s="48" t="s">
        <v>120</v>
      </c>
      <c r="AF57" s="36"/>
    </row>
    <row r="58" spans="8:32" x14ac:dyDescent="0.25">
      <c r="H58" s="35"/>
      <c r="I58" s="30"/>
      <c r="J58" s="30"/>
      <c r="K58" s="30"/>
      <c r="L58" s="30"/>
      <c r="M58" s="30"/>
      <c r="N58" s="30"/>
      <c r="O58" s="30"/>
      <c r="P58" s="30"/>
      <c r="Q58" s="30"/>
      <c r="R58" s="70"/>
      <c r="S58" s="155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6"/>
    </row>
    <row r="59" spans="8:32" x14ac:dyDescent="0.25">
      <c r="H59" s="35"/>
      <c r="I59" s="30" t="s">
        <v>140</v>
      </c>
      <c r="J59" s="48" t="s">
        <v>120</v>
      </c>
      <c r="K59" s="48" t="s">
        <v>120</v>
      </c>
      <c r="L59" s="48" t="s">
        <v>120</v>
      </c>
      <c r="M59" s="48" t="s">
        <v>120</v>
      </c>
      <c r="N59" s="30"/>
      <c r="O59" s="30"/>
      <c r="P59" s="48" t="s">
        <v>120</v>
      </c>
      <c r="Q59" s="48" t="s">
        <v>120</v>
      </c>
      <c r="R59" s="48" t="s">
        <v>120</v>
      </c>
      <c r="S59" s="157" t="s">
        <v>120</v>
      </c>
      <c r="T59" s="30"/>
      <c r="U59" s="30"/>
      <c r="V59" s="48" t="s">
        <v>120</v>
      </c>
      <c r="W59" s="48" t="s">
        <v>120</v>
      </c>
      <c r="X59" s="30"/>
      <c r="Y59" s="30" t="s">
        <v>121</v>
      </c>
      <c r="Z59" s="30" t="s">
        <v>121</v>
      </c>
      <c r="AA59" s="30" t="s">
        <v>121</v>
      </c>
      <c r="AB59" s="30" t="s">
        <v>121</v>
      </c>
      <c r="AC59" s="30"/>
      <c r="AD59" s="48" t="s">
        <v>120</v>
      </c>
      <c r="AE59" s="48" t="s">
        <v>120</v>
      </c>
      <c r="AF59" s="36"/>
    </row>
    <row r="60" spans="8:32" x14ac:dyDescent="0.25">
      <c r="H60" s="35"/>
      <c r="I60" s="30" t="s">
        <v>141</v>
      </c>
      <c r="J60" s="48" t="s">
        <v>120</v>
      </c>
      <c r="K60" s="48" t="s">
        <v>120</v>
      </c>
      <c r="L60" s="48" t="s">
        <v>120</v>
      </c>
      <c r="M60" s="48" t="s">
        <v>120</v>
      </c>
      <c r="N60" s="30"/>
      <c r="O60" s="30"/>
      <c r="P60" s="48" t="s">
        <v>120</v>
      </c>
      <c r="Q60" s="48" t="s">
        <v>120</v>
      </c>
      <c r="R60" s="48" t="s">
        <v>120</v>
      </c>
      <c r="S60" s="157" t="s">
        <v>120</v>
      </c>
      <c r="T60" s="30"/>
      <c r="U60" s="30"/>
      <c r="V60" s="48" t="s">
        <v>120</v>
      </c>
      <c r="W60" s="48" t="s">
        <v>120</v>
      </c>
      <c r="X60" s="30"/>
      <c r="Y60" s="30" t="s">
        <v>121</v>
      </c>
      <c r="Z60" s="30" t="s">
        <v>121</v>
      </c>
      <c r="AA60" s="30" t="s">
        <v>121</v>
      </c>
      <c r="AB60" s="30" t="s">
        <v>121</v>
      </c>
      <c r="AC60" s="30"/>
      <c r="AD60" s="48" t="s">
        <v>120</v>
      </c>
      <c r="AE60" s="48" t="s">
        <v>120</v>
      </c>
      <c r="AF60" s="36"/>
    </row>
    <row r="61" spans="8:32" x14ac:dyDescent="0.25">
      <c r="H61" s="35"/>
      <c r="I61" s="30" t="s">
        <v>142</v>
      </c>
      <c r="J61" s="48" t="s">
        <v>120</v>
      </c>
      <c r="K61" s="48" t="s">
        <v>120</v>
      </c>
      <c r="L61" s="48" t="s">
        <v>120</v>
      </c>
      <c r="M61" s="48" t="s">
        <v>120</v>
      </c>
      <c r="N61" s="30"/>
      <c r="O61" s="30"/>
      <c r="P61" s="48" t="s">
        <v>120</v>
      </c>
      <c r="Q61" s="48" t="s">
        <v>120</v>
      </c>
      <c r="R61" s="48" t="s">
        <v>120</v>
      </c>
      <c r="S61" s="157" t="s">
        <v>120</v>
      </c>
      <c r="T61" s="30"/>
      <c r="U61" s="30"/>
      <c r="V61" s="48" t="s">
        <v>120</v>
      </c>
      <c r="W61" s="48" t="s">
        <v>120</v>
      </c>
      <c r="X61" s="30"/>
      <c r="Y61" s="30" t="s">
        <v>121</v>
      </c>
      <c r="Z61" s="30" t="s">
        <v>121</v>
      </c>
      <c r="AA61" s="30" t="s">
        <v>121</v>
      </c>
      <c r="AB61" s="30" t="s">
        <v>121</v>
      </c>
      <c r="AC61" s="30"/>
      <c r="AD61" s="48" t="s">
        <v>120</v>
      </c>
      <c r="AE61" s="48" t="s">
        <v>120</v>
      </c>
      <c r="AF61" s="36"/>
    </row>
    <row r="62" spans="8:32" x14ac:dyDescent="0.25">
      <c r="H62" s="35"/>
      <c r="I62" s="30"/>
      <c r="J62" s="30"/>
      <c r="K62" s="30"/>
      <c r="L62" s="30"/>
      <c r="M62" s="30"/>
      <c r="N62" s="30"/>
      <c r="O62" s="30"/>
      <c r="P62" s="30"/>
      <c r="Q62" s="30"/>
      <c r="R62" s="70"/>
      <c r="S62" s="155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6"/>
    </row>
    <row r="63" spans="8:32" x14ac:dyDescent="0.25">
      <c r="H63" s="35"/>
      <c r="I63" s="30" t="s">
        <v>151</v>
      </c>
      <c r="J63" s="30">
        <v>2</v>
      </c>
      <c r="K63" s="30">
        <v>2</v>
      </c>
      <c r="L63" s="30">
        <v>2</v>
      </c>
      <c r="M63" s="30">
        <v>2</v>
      </c>
      <c r="N63" s="30"/>
      <c r="O63" s="30"/>
      <c r="P63" s="30">
        <v>3</v>
      </c>
      <c r="Q63" s="30">
        <v>3</v>
      </c>
      <c r="R63" s="70">
        <v>2</v>
      </c>
      <c r="S63" s="155"/>
      <c r="T63" s="30"/>
      <c r="U63" s="30"/>
      <c r="V63" s="30">
        <v>3</v>
      </c>
      <c r="W63" s="30">
        <v>3</v>
      </c>
      <c r="X63" s="30"/>
      <c r="Y63" s="473">
        <v>1</v>
      </c>
      <c r="Z63" s="473"/>
      <c r="AA63" s="476">
        <v>3</v>
      </c>
      <c r="AB63" s="476"/>
      <c r="AC63" s="30"/>
      <c r="AD63" s="49"/>
      <c r="AE63" s="26">
        <v>1</v>
      </c>
      <c r="AF63" s="36"/>
    </row>
    <row r="64" spans="8:32" x14ac:dyDescent="0.25">
      <c r="H64" s="35"/>
      <c r="I64" s="30" t="s">
        <v>144</v>
      </c>
      <c r="J64" s="30">
        <v>2</v>
      </c>
      <c r="K64" s="30">
        <v>2</v>
      </c>
      <c r="L64" s="30">
        <v>2</v>
      </c>
      <c r="M64" s="30">
        <v>2</v>
      </c>
      <c r="N64" s="30"/>
      <c r="O64" s="30"/>
      <c r="P64" s="30">
        <v>3</v>
      </c>
      <c r="Q64" s="30">
        <v>3</v>
      </c>
      <c r="R64" s="70">
        <v>3</v>
      </c>
      <c r="S64" s="155"/>
      <c r="T64" s="30"/>
      <c r="U64" s="30"/>
      <c r="V64" s="30">
        <v>3</v>
      </c>
      <c r="W64" s="30">
        <v>3</v>
      </c>
      <c r="X64" s="30"/>
      <c r="Y64" s="473">
        <v>1</v>
      </c>
      <c r="Z64" s="473"/>
      <c r="AA64" s="476">
        <v>3</v>
      </c>
      <c r="AB64" s="476"/>
      <c r="AC64" s="30"/>
      <c r="AD64" s="49"/>
      <c r="AE64" s="26">
        <v>1</v>
      </c>
      <c r="AF64" s="36"/>
    </row>
    <row r="65" spans="8:32" x14ac:dyDescent="0.25">
      <c r="H65" s="35"/>
      <c r="I65" s="30" t="s">
        <v>145</v>
      </c>
      <c r="J65" s="30">
        <v>2</v>
      </c>
      <c r="K65" s="30">
        <v>2</v>
      </c>
      <c r="L65" s="30">
        <v>2</v>
      </c>
      <c r="M65" s="30">
        <v>2</v>
      </c>
      <c r="N65" s="30"/>
      <c r="O65" s="30"/>
      <c r="P65" s="30">
        <v>1</v>
      </c>
      <c r="Q65" s="30">
        <v>3</v>
      </c>
      <c r="R65" s="70">
        <v>3</v>
      </c>
      <c r="S65" s="155"/>
      <c r="T65" s="30"/>
      <c r="U65" s="30"/>
      <c r="V65" s="30">
        <v>1</v>
      </c>
      <c r="W65" s="30">
        <v>3</v>
      </c>
      <c r="X65" s="30"/>
      <c r="Y65" s="473">
        <v>1</v>
      </c>
      <c r="Z65" s="473"/>
      <c r="AA65" s="476">
        <v>3</v>
      </c>
      <c r="AB65" s="476"/>
      <c r="AC65" s="30"/>
      <c r="AD65" s="49"/>
      <c r="AE65" s="49"/>
      <c r="AF65" s="36"/>
    </row>
    <row r="66" spans="8:32" x14ac:dyDescent="0.25">
      <c r="H66" s="35"/>
      <c r="I66" s="30" t="s">
        <v>146</v>
      </c>
      <c r="J66" s="30">
        <v>2</v>
      </c>
      <c r="K66" s="30">
        <v>2</v>
      </c>
      <c r="L66" s="30">
        <v>2</v>
      </c>
      <c r="M66" s="30">
        <v>2</v>
      </c>
      <c r="N66" s="30"/>
      <c r="O66" s="30"/>
      <c r="P66" s="30">
        <v>1</v>
      </c>
      <c r="Q66" s="30">
        <v>3</v>
      </c>
      <c r="R66" s="70">
        <v>3</v>
      </c>
      <c r="S66" s="155"/>
      <c r="T66" s="30"/>
      <c r="U66" s="30"/>
      <c r="V66" s="30">
        <v>1</v>
      </c>
      <c r="W66" s="30">
        <v>3</v>
      </c>
      <c r="X66" s="30"/>
      <c r="Y66" s="473">
        <v>1</v>
      </c>
      <c r="Z66" s="473"/>
      <c r="AA66" s="476">
        <v>3</v>
      </c>
      <c r="AB66" s="476"/>
      <c r="AC66" s="30"/>
      <c r="AD66" s="49"/>
      <c r="AE66" s="49"/>
      <c r="AF66" s="36"/>
    </row>
    <row r="67" spans="8:32" x14ac:dyDescent="0.25">
      <c r="H67" s="35"/>
      <c r="I67" s="30" t="s">
        <v>147</v>
      </c>
      <c r="J67" s="30">
        <v>2</v>
      </c>
      <c r="K67" s="30">
        <v>2</v>
      </c>
      <c r="L67" s="30">
        <v>2</v>
      </c>
      <c r="M67" s="30">
        <v>2</v>
      </c>
      <c r="N67" s="30"/>
      <c r="O67" s="30"/>
      <c r="P67" s="30">
        <v>1</v>
      </c>
      <c r="Q67" s="30">
        <v>3</v>
      </c>
      <c r="R67" s="70">
        <v>1</v>
      </c>
      <c r="S67" s="155"/>
      <c r="T67" s="30"/>
      <c r="U67" s="30"/>
      <c r="V67" s="30">
        <v>1</v>
      </c>
      <c r="W67" s="30">
        <v>3</v>
      </c>
      <c r="X67" s="30"/>
      <c r="Y67" s="473">
        <v>1</v>
      </c>
      <c r="Z67" s="473"/>
      <c r="AA67" s="476">
        <v>3</v>
      </c>
      <c r="AB67" s="476"/>
      <c r="AC67" s="30"/>
      <c r="AD67" s="49"/>
      <c r="AE67" s="49"/>
      <c r="AF67" s="36"/>
    </row>
    <row r="68" spans="8:32" x14ac:dyDescent="0.25">
      <c r="H68" s="35"/>
      <c r="I68" s="30" t="s">
        <v>148</v>
      </c>
      <c r="J68" s="30">
        <v>2</v>
      </c>
      <c r="K68" s="30">
        <v>2</v>
      </c>
      <c r="L68" s="30">
        <v>2</v>
      </c>
      <c r="M68" s="30">
        <v>2</v>
      </c>
      <c r="N68" s="30"/>
      <c r="O68" s="30"/>
      <c r="P68" s="30">
        <v>1</v>
      </c>
      <c r="Q68" s="30">
        <v>3</v>
      </c>
      <c r="R68" s="70">
        <v>1</v>
      </c>
      <c r="S68" s="155"/>
      <c r="T68" s="30"/>
      <c r="U68" s="30"/>
      <c r="V68" s="30">
        <v>1</v>
      </c>
      <c r="W68" s="30">
        <v>3</v>
      </c>
      <c r="X68" s="30"/>
      <c r="Y68" s="473">
        <v>1</v>
      </c>
      <c r="Z68" s="473"/>
      <c r="AA68" s="476">
        <v>3</v>
      </c>
      <c r="AB68" s="476"/>
      <c r="AC68" s="30"/>
      <c r="AD68" s="49"/>
      <c r="AE68" s="49"/>
      <c r="AF68" s="36"/>
    </row>
    <row r="69" spans="8:32" x14ac:dyDescent="0.25">
      <c r="H69" s="35"/>
      <c r="I69" s="30" t="s">
        <v>149</v>
      </c>
      <c r="J69" s="30">
        <v>2</v>
      </c>
      <c r="K69" s="30">
        <v>2</v>
      </c>
      <c r="L69" s="30">
        <v>2</v>
      </c>
      <c r="M69" s="30">
        <v>2</v>
      </c>
      <c r="N69" s="30"/>
      <c r="O69" s="30"/>
      <c r="P69" s="30">
        <v>1</v>
      </c>
      <c r="Q69" s="30">
        <v>1</v>
      </c>
      <c r="R69" s="70">
        <v>1</v>
      </c>
      <c r="S69" s="155"/>
      <c r="T69" s="30"/>
      <c r="U69" s="30"/>
      <c r="V69" s="30">
        <v>1</v>
      </c>
      <c r="W69" s="30">
        <v>1</v>
      </c>
      <c r="X69" s="30"/>
      <c r="Y69" s="473">
        <v>1</v>
      </c>
      <c r="Z69" s="473"/>
      <c r="AA69" s="476">
        <v>3</v>
      </c>
      <c r="AB69" s="476"/>
      <c r="AC69" s="30"/>
      <c r="AD69" s="26">
        <v>3</v>
      </c>
      <c r="AE69" s="49"/>
      <c r="AF69" s="36"/>
    </row>
    <row r="70" spans="8:32" x14ac:dyDescent="0.25">
      <c r="H70" s="35"/>
      <c r="I70" s="30" t="s">
        <v>150</v>
      </c>
      <c r="J70" s="30">
        <v>2</v>
      </c>
      <c r="K70" s="30">
        <v>2</v>
      </c>
      <c r="L70" s="30">
        <v>2</v>
      </c>
      <c r="M70" s="30">
        <v>2</v>
      </c>
      <c r="N70" s="30"/>
      <c r="O70" s="30"/>
      <c r="P70" s="30">
        <v>1</v>
      </c>
      <c r="Q70" s="30">
        <v>1</v>
      </c>
      <c r="R70" s="70">
        <v>2</v>
      </c>
      <c r="S70" s="155"/>
      <c r="T70" s="30"/>
      <c r="U70" s="30"/>
      <c r="V70" s="30">
        <v>1</v>
      </c>
      <c r="W70" s="30">
        <v>1</v>
      </c>
      <c r="X70" s="30"/>
      <c r="Y70" s="473">
        <v>1</v>
      </c>
      <c r="Z70" s="473"/>
      <c r="AA70" s="476">
        <v>3</v>
      </c>
      <c r="AB70" s="476"/>
      <c r="AC70" s="30"/>
      <c r="AD70" s="26">
        <v>3</v>
      </c>
      <c r="AE70" s="49"/>
      <c r="AF70" s="36"/>
    </row>
    <row r="71" spans="8:32" x14ac:dyDescent="0.25">
      <c r="H71" s="35"/>
      <c r="I71" s="30"/>
      <c r="J71" s="30"/>
      <c r="K71" s="30"/>
      <c r="L71" s="30"/>
      <c r="M71" s="30"/>
      <c r="N71" s="30"/>
      <c r="O71" s="30"/>
      <c r="P71" s="30"/>
      <c r="Q71" s="30"/>
      <c r="R71" s="70"/>
      <c r="S71" s="155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6"/>
    </row>
    <row r="72" spans="8:32" x14ac:dyDescent="0.25">
      <c r="H72" s="35"/>
      <c r="I72" s="30" t="s">
        <v>152</v>
      </c>
      <c r="J72" s="30" t="s">
        <v>120</v>
      </c>
      <c r="K72" s="30" t="s">
        <v>120</v>
      </c>
      <c r="L72" s="30" t="s">
        <v>120</v>
      </c>
      <c r="M72" s="30" t="s">
        <v>120</v>
      </c>
      <c r="N72" s="30"/>
      <c r="O72" s="30"/>
      <c r="P72" s="42" t="s">
        <v>120</v>
      </c>
      <c r="Q72" s="42" t="s">
        <v>120</v>
      </c>
      <c r="R72" s="65" t="s">
        <v>120</v>
      </c>
      <c r="S72" s="158"/>
      <c r="T72" s="30"/>
      <c r="U72" s="30"/>
      <c r="V72" s="42" t="s">
        <v>120</v>
      </c>
      <c r="W72" s="42" t="s">
        <v>120</v>
      </c>
      <c r="X72" s="30"/>
      <c r="Y72" s="436" t="s">
        <v>153</v>
      </c>
      <c r="Z72" s="436"/>
      <c r="AA72" s="436" t="s">
        <v>154</v>
      </c>
      <c r="AB72" s="436"/>
      <c r="AC72" s="30"/>
      <c r="AD72" s="42"/>
      <c r="AE72" s="42"/>
      <c r="AF72" s="36"/>
    </row>
    <row r="73" spans="8:32" x14ac:dyDescent="0.25">
      <c r="H73" s="35"/>
      <c r="I73" s="30"/>
      <c r="J73" s="30"/>
      <c r="K73" s="30"/>
      <c r="L73" s="30"/>
      <c r="M73" s="30"/>
      <c r="N73" s="30"/>
      <c r="O73" s="30"/>
      <c r="P73" s="30"/>
      <c r="Q73" s="30"/>
      <c r="R73" s="70"/>
      <c r="S73" s="155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6"/>
    </row>
    <row r="74" spans="8:32" ht="31.5" customHeight="1" thickBot="1" x14ac:dyDescent="0.3">
      <c r="H74" s="39"/>
      <c r="I74" s="40"/>
      <c r="J74" s="40"/>
      <c r="K74" s="40"/>
      <c r="L74" s="40"/>
      <c r="M74" s="40"/>
      <c r="N74" s="40"/>
      <c r="O74" s="40"/>
      <c r="P74" s="474" t="s">
        <v>158</v>
      </c>
      <c r="Q74" s="474"/>
      <c r="R74" s="64"/>
      <c r="S74" s="159"/>
      <c r="T74" s="40"/>
      <c r="U74" s="40"/>
      <c r="V74" s="474" t="s">
        <v>182</v>
      </c>
      <c r="W74" s="474"/>
      <c r="X74" s="40"/>
      <c r="Y74" s="477" t="s">
        <v>180</v>
      </c>
      <c r="Z74" s="477"/>
      <c r="AA74" s="477"/>
      <c r="AB74" s="477"/>
      <c r="AC74" s="40"/>
      <c r="AD74" s="474" t="s">
        <v>181</v>
      </c>
      <c r="AE74" s="474"/>
      <c r="AF74" s="41"/>
    </row>
    <row r="75" spans="8:32" ht="15" customHeight="1" x14ac:dyDescent="0.25"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</row>
    <row r="76" spans="8:32" x14ac:dyDescent="0.25">
      <c r="P76" s="20"/>
      <c r="Q76" s="20"/>
      <c r="R76" s="20"/>
      <c r="S76" s="20"/>
    </row>
    <row r="77" spans="8:32" x14ac:dyDescent="0.25">
      <c r="I77" s="471" t="s">
        <v>169</v>
      </c>
      <c r="J77" s="471"/>
      <c r="K77" s="471"/>
      <c r="L77" s="471"/>
      <c r="M77" s="471"/>
      <c r="P77" s="472" t="s">
        <v>170</v>
      </c>
      <c r="Q77" s="472"/>
      <c r="R77" s="67"/>
      <c r="S77" s="112"/>
      <c r="Y77" s="475" t="s">
        <v>171</v>
      </c>
      <c r="Z77" s="475"/>
      <c r="AA77" s="475"/>
      <c r="AB77" s="475"/>
    </row>
    <row r="78" spans="8:32" x14ac:dyDescent="0.25">
      <c r="I78" s="471"/>
      <c r="J78" s="471"/>
      <c r="K78" s="471"/>
      <c r="L78" s="471"/>
      <c r="M78" s="471"/>
      <c r="P78" s="472"/>
      <c r="Q78" s="472"/>
      <c r="R78" s="67"/>
      <c r="S78" s="112"/>
      <c r="Y78" s="475"/>
      <c r="Z78" s="475"/>
      <c r="AA78" s="475"/>
      <c r="AB78" s="475"/>
    </row>
    <row r="79" spans="8:32" x14ac:dyDescent="0.25">
      <c r="N79" s="18"/>
      <c r="O79" s="18"/>
      <c r="P79" s="18"/>
      <c r="Q79" s="18"/>
      <c r="R79" s="18"/>
      <c r="S79" s="18"/>
      <c r="Y79" s="18"/>
      <c r="Z79" s="18"/>
      <c r="AA79" s="18"/>
      <c r="AB79" s="18"/>
      <c r="AD79" s="18"/>
      <c r="AE79" s="18"/>
    </row>
    <row r="80" spans="8:32" x14ac:dyDescent="0.25">
      <c r="L80" s="18"/>
      <c r="M80" s="18"/>
      <c r="N80" s="18"/>
      <c r="O80" s="18"/>
      <c r="P80" s="18"/>
      <c r="Q80" s="18"/>
      <c r="R80" s="18"/>
      <c r="S80" s="18"/>
      <c r="Y80" s="18"/>
      <c r="Z80" s="18"/>
      <c r="AA80" s="18"/>
      <c r="AB80" s="18"/>
      <c r="AD80" s="18"/>
      <c r="AE80" s="18"/>
    </row>
    <row r="81" spans="8:31" x14ac:dyDescent="0.25">
      <c r="I81" s="471" t="s">
        <v>161</v>
      </c>
      <c r="J81" s="471"/>
      <c r="K81" s="471"/>
      <c r="L81" s="471"/>
      <c r="M81" s="471"/>
      <c r="N81" s="18"/>
      <c r="O81" s="18"/>
      <c r="P81" s="18"/>
      <c r="Q81" s="18"/>
      <c r="R81" s="18"/>
      <c r="S81" s="18"/>
      <c r="Y81" s="18"/>
      <c r="Z81" s="18"/>
      <c r="AA81" s="18"/>
      <c r="AB81" s="18"/>
      <c r="AD81" s="18"/>
      <c r="AE81" s="18"/>
    </row>
    <row r="82" spans="8:31" x14ac:dyDescent="0.25">
      <c r="I82" s="471" t="s">
        <v>162</v>
      </c>
      <c r="J82" s="471"/>
      <c r="K82" s="471"/>
      <c r="L82" s="471"/>
      <c r="M82" s="471"/>
      <c r="N82" s="18"/>
      <c r="O82" s="18"/>
      <c r="P82" s="18"/>
      <c r="Q82" s="18"/>
      <c r="R82" s="18"/>
      <c r="S82" s="18"/>
      <c r="Y82" s="18"/>
      <c r="Z82" s="18"/>
      <c r="AA82" s="18"/>
      <c r="AB82" s="18"/>
      <c r="AD82" s="18"/>
      <c r="AE82" s="18"/>
    </row>
    <row r="83" spans="8:31" x14ac:dyDescent="0.25">
      <c r="L83" s="18"/>
      <c r="M83" s="18"/>
      <c r="N83" s="18"/>
      <c r="O83" s="18"/>
      <c r="P83" s="18"/>
      <c r="Q83" s="18"/>
      <c r="R83" s="18"/>
      <c r="S83" s="18"/>
      <c r="Y83" s="18"/>
      <c r="Z83" s="18"/>
      <c r="AA83" s="18"/>
      <c r="AB83" s="18"/>
      <c r="AD83" s="18"/>
      <c r="AE83" s="18"/>
    </row>
    <row r="84" spans="8:31" x14ac:dyDescent="0.25">
      <c r="L84" s="18"/>
      <c r="M84" s="18"/>
      <c r="N84" s="18"/>
      <c r="O84" s="18"/>
      <c r="P84" s="18"/>
      <c r="Q84" s="18"/>
      <c r="R84" s="18"/>
      <c r="S84" s="18"/>
      <c r="Y84" s="18"/>
      <c r="Z84" s="18"/>
      <c r="AA84" s="18"/>
      <c r="AB84" s="18"/>
      <c r="AD84" s="18"/>
      <c r="AE84" s="18"/>
    </row>
    <row r="85" spans="8:31" x14ac:dyDescent="0.25">
      <c r="H85" s="437" t="s">
        <v>280</v>
      </c>
      <c r="I85" s="437"/>
      <c r="J85" s="437"/>
      <c r="K85" s="437"/>
      <c r="L85" s="437"/>
      <c r="M85" s="437"/>
      <c r="N85" s="437"/>
      <c r="O85" s="437"/>
      <c r="P85" s="437"/>
      <c r="Q85" s="437"/>
      <c r="R85" s="437"/>
      <c r="S85" s="437"/>
      <c r="T85" s="437"/>
      <c r="U85" s="437"/>
      <c r="V85" s="437"/>
      <c r="W85" s="437"/>
      <c r="X85"/>
      <c r="Y85" s="18"/>
      <c r="Z85" s="18"/>
      <c r="AA85" s="18"/>
      <c r="AB85" s="18"/>
      <c r="AD85" s="18"/>
      <c r="AE85" s="18"/>
    </row>
    <row r="86" spans="8:31" x14ac:dyDescent="0.25">
      <c r="H86" s="437"/>
      <c r="I86" s="437"/>
      <c r="J86" s="437"/>
      <c r="K86" s="437"/>
      <c r="L86" s="437"/>
      <c r="M86" s="437"/>
      <c r="N86" s="437"/>
      <c r="O86" s="437"/>
      <c r="P86" s="437"/>
      <c r="Q86" s="437"/>
      <c r="R86" s="437"/>
      <c r="S86" s="437"/>
      <c r="T86" s="437"/>
      <c r="U86" s="437"/>
      <c r="V86" s="437"/>
      <c r="W86" s="437"/>
      <c r="X86"/>
      <c r="Y86" s="18"/>
      <c r="Z86" s="18"/>
      <c r="AA86" s="18"/>
      <c r="AB86" s="18"/>
      <c r="AD86" s="18"/>
      <c r="AE86" s="18"/>
    </row>
    <row r="87" spans="8:31" ht="45" x14ac:dyDescent="0.25">
      <c r="H87" s="73"/>
      <c r="I87" s="436" t="s">
        <v>163</v>
      </c>
      <c r="J87" s="436"/>
      <c r="K87" s="436" t="s">
        <v>281</v>
      </c>
      <c r="L87" s="436"/>
      <c r="M87" s="436" t="s">
        <v>165</v>
      </c>
      <c r="N87" s="436"/>
      <c r="O87" s="436" t="s">
        <v>166</v>
      </c>
      <c r="P87" s="436"/>
      <c r="Q87" s="436" t="s">
        <v>167</v>
      </c>
      <c r="R87" s="436"/>
      <c r="S87" s="436"/>
      <c r="T87" s="436"/>
      <c r="U87" s="436" t="s">
        <v>168</v>
      </c>
      <c r="V87" s="436"/>
      <c r="W87" s="74" t="s">
        <v>282</v>
      </c>
      <c r="X87"/>
    </row>
    <row r="88" spans="8:31" x14ac:dyDescent="0.25">
      <c r="H88" s="75" t="s">
        <v>127</v>
      </c>
      <c r="I88" s="465"/>
      <c r="J88" s="465"/>
      <c r="K88" s="470"/>
      <c r="L88" s="470"/>
      <c r="M88" s="436"/>
      <c r="N88" s="436"/>
      <c r="O88" s="468"/>
      <c r="P88" s="468"/>
      <c r="Q88" s="436"/>
      <c r="R88" s="436"/>
      <c r="S88" s="436"/>
      <c r="T88" s="436"/>
      <c r="U88" s="436"/>
      <c r="V88" s="436"/>
      <c r="W88" s="73">
        <v>2</v>
      </c>
      <c r="X88"/>
    </row>
    <row r="89" spans="8:31" x14ac:dyDescent="0.25">
      <c r="H89" s="75" t="s">
        <v>126</v>
      </c>
      <c r="I89" s="465"/>
      <c r="J89" s="465"/>
      <c r="K89" s="470"/>
      <c r="L89" s="470"/>
      <c r="M89" s="436"/>
      <c r="N89" s="436"/>
      <c r="O89" s="468"/>
      <c r="P89" s="468"/>
      <c r="Q89" s="436"/>
      <c r="R89" s="436"/>
      <c r="S89" s="436"/>
      <c r="T89" s="436"/>
      <c r="U89" s="436"/>
      <c r="V89" s="436"/>
      <c r="W89" s="73">
        <v>2</v>
      </c>
      <c r="X89"/>
    </row>
    <row r="90" spans="8:31" x14ac:dyDescent="0.25">
      <c r="H90" s="75" t="s">
        <v>128</v>
      </c>
      <c r="I90" s="436"/>
      <c r="J90" s="436"/>
      <c r="K90" s="436"/>
      <c r="L90" s="436"/>
      <c r="M90" s="465"/>
      <c r="N90" s="465"/>
      <c r="O90" s="465"/>
      <c r="P90" s="465"/>
      <c r="Q90" s="436"/>
      <c r="R90" s="436"/>
      <c r="S90" s="436"/>
      <c r="T90" s="436"/>
      <c r="U90" s="436"/>
      <c r="V90" s="436"/>
      <c r="W90" s="73">
        <v>2</v>
      </c>
      <c r="X90"/>
    </row>
    <row r="91" spans="8:31" x14ac:dyDescent="0.25">
      <c r="H91" s="75" t="s">
        <v>129</v>
      </c>
      <c r="I91" s="436"/>
      <c r="J91" s="436"/>
      <c r="K91" s="465"/>
      <c r="L91" s="465"/>
      <c r="M91" s="466"/>
      <c r="N91" s="467"/>
      <c r="O91" s="436"/>
      <c r="P91" s="436"/>
      <c r="Q91" s="468"/>
      <c r="R91" s="468"/>
      <c r="S91" s="468"/>
      <c r="T91" s="468"/>
      <c r="U91" s="436"/>
      <c r="V91" s="436"/>
      <c r="W91" s="73">
        <v>3</v>
      </c>
      <c r="X91"/>
    </row>
    <row r="92" spans="8:31" x14ac:dyDescent="0.25"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</row>
    <row r="93" spans="8:31" x14ac:dyDescent="0.25"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</row>
    <row r="94" spans="8:31" x14ac:dyDescent="0.25"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 s="24" t="s">
        <v>283</v>
      </c>
      <c r="X94" s="76"/>
    </row>
    <row r="95" spans="8:31" x14ac:dyDescent="0.25"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 s="24" t="s">
        <v>284</v>
      </c>
      <c r="X95" s="77"/>
    </row>
    <row r="96" spans="8:31" x14ac:dyDescent="0.25">
      <c r="I96" s="100"/>
      <c r="J96" s="100"/>
      <c r="K96" s="100"/>
      <c r="L96" s="100"/>
    </row>
    <row r="97" spans="8:23" x14ac:dyDescent="0.25">
      <c r="H97" s="75" t="s">
        <v>129</v>
      </c>
      <c r="I97" s="464"/>
      <c r="J97" s="464"/>
      <c r="K97" s="100"/>
      <c r="L97" s="100"/>
      <c r="M97" s="465"/>
      <c r="N97" s="465"/>
      <c r="O97" s="466"/>
      <c r="P97" s="467"/>
      <c r="R97" s="101"/>
      <c r="S97" s="101"/>
      <c r="U97" s="468"/>
      <c r="V97" s="468"/>
      <c r="W97" s="73">
        <v>3</v>
      </c>
    </row>
  </sheetData>
  <mergeCells count="70">
    <mergeCell ref="I4:M5"/>
    <mergeCell ref="H36:AF37"/>
    <mergeCell ref="Y72:Z72"/>
    <mergeCell ref="U15:W16"/>
    <mergeCell ref="AD39:AE39"/>
    <mergeCell ref="J39:M39"/>
    <mergeCell ref="Y39:AB39"/>
    <mergeCell ref="T42:T47"/>
    <mergeCell ref="AA69:AB69"/>
    <mergeCell ref="AA70:AB70"/>
    <mergeCell ref="AD74:AE74"/>
    <mergeCell ref="Y70:Z70"/>
    <mergeCell ref="AA63:AB63"/>
    <mergeCell ref="AA64:AB64"/>
    <mergeCell ref="AA65:AB65"/>
    <mergeCell ref="AA66:AB66"/>
    <mergeCell ref="Y74:AB74"/>
    <mergeCell ref="AA72:AB72"/>
    <mergeCell ref="I82:M82"/>
    <mergeCell ref="I81:M81"/>
    <mergeCell ref="I77:M78"/>
    <mergeCell ref="P77:Q78"/>
    <mergeCell ref="Y63:Z63"/>
    <mergeCell ref="Y64:Z64"/>
    <mergeCell ref="Y65:Z65"/>
    <mergeCell ref="Y66:Z66"/>
    <mergeCell ref="Y67:Z67"/>
    <mergeCell ref="Y68:Z68"/>
    <mergeCell ref="Y69:Z69"/>
    <mergeCell ref="P74:Q74"/>
    <mergeCell ref="V74:W74"/>
    <mergeCell ref="Y77:AB78"/>
    <mergeCell ref="AA67:AB67"/>
    <mergeCell ref="AA68:AB68"/>
    <mergeCell ref="H85:W86"/>
    <mergeCell ref="I87:J87"/>
    <mergeCell ref="K87:L87"/>
    <mergeCell ref="M87:N87"/>
    <mergeCell ref="O87:P87"/>
    <mergeCell ref="Q87:T87"/>
    <mergeCell ref="U87:V87"/>
    <mergeCell ref="Q90:T90"/>
    <mergeCell ref="U88:V88"/>
    <mergeCell ref="I89:J89"/>
    <mergeCell ref="K89:L89"/>
    <mergeCell ref="M89:N89"/>
    <mergeCell ref="O89:P89"/>
    <mergeCell ref="Q89:T89"/>
    <mergeCell ref="U89:V89"/>
    <mergeCell ref="I88:J88"/>
    <mergeCell ref="K88:L88"/>
    <mergeCell ref="M88:N88"/>
    <mergeCell ref="O88:P88"/>
    <mergeCell ref="Q88:T88"/>
    <mergeCell ref="I97:J97"/>
    <mergeCell ref="M97:N97"/>
    <mergeCell ref="O97:P97"/>
    <mergeCell ref="U97:V97"/>
    <mergeCell ref="Q31:Q33"/>
    <mergeCell ref="U90:V90"/>
    <mergeCell ref="I91:J91"/>
    <mergeCell ref="K91:L91"/>
    <mergeCell ref="M91:N91"/>
    <mergeCell ref="O91:P91"/>
    <mergeCell ref="Q91:T91"/>
    <mergeCell ref="U91:V91"/>
    <mergeCell ref="I90:J90"/>
    <mergeCell ref="K90:L90"/>
    <mergeCell ref="M90:N90"/>
    <mergeCell ref="O90:P90"/>
  </mergeCells>
  <pageMargins left="0.7" right="0.7" top="0.75" bottom="0.75" header="0.3" footer="0.3"/>
  <pageSetup paperSize="9" scale="21" orientation="portrait" horizontalDpi="0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H5:O29"/>
  <sheetViews>
    <sheetView workbookViewId="0">
      <selection activeCell="I20" sqref="I20"/>
    </sheetView>
  </sheetViews>
  <sheetFormatPr defaultRowHeight="15" x14ac:dyDescent="0.25"/>
  <cols>
    <col min="8" max="8" width="8.7109375" bestFit="1" customWidth="1"/>
    <col min="14" max="14" width="13" customWidth="1"/>
    <col min="15" max="15" width="10.5703125" bestFit="1" customWidth="1"/>
    <col min="16" max="16" width="13.28515625" customWidth="1"/>
    <col min="17" max="17" width="10.5703125" bestFit="1" customWidth="1"/>
  </cols>
  <sheetData>
    <row r="5" spans="8:15" x14ac:dyDescent="0.25">
      <c r="H5" s="486" t="s">
        <v>185</v>
      </c>
      <c r="I5" s="486"/>
      <c r="J5" s="486"/>
    </row>
    <row r="6" spans="8:15" x14ac:dyDescent="0.25">
      <c r="H6" s="487"/>
      <c r="I6" s="487"/>
      <c r="J6" s="487"/>
    </row>
    <row r="7" spans="8:15" x14ac:dyDescent="0.25">
      <c r="H7" s="24" t="s">
        <v>159</v>
      </c>
      <c r="I7" s="496" t="s">
        <v>160</v>
      </c>
      <c r="J7" s="496"/>
    </row>
    <row r="8" spans="8:15" ht="15" customHeight="1" x14ac:dyDescent="0.25">
      <c r="H8" s="25">
        <v>243.2</v>
      </c>
      <c r="I8" s="26" t="s">
        <v>114</v>
      </c>
      <c r="J8" s="27">
        <v>1</v>
      </c>
    </row>
    <row r="9" spans="8:15" x14ac:dyDescent="0.25">
      <c r="H9" s="25">
        <v>248.4</v>
      </c>
      <c r="I9" s="25">
        <v>3</v>
      </c>
      <c r="J9" s="27" t="s">
        <v>114</v>
      </c>
    </row>
    <row r="10" spans="8:15" x14ac:dyDescent="0.25">
      <c r="H10" s="25">
        <v>253.6</v>
      </c>
      <c r="I10" s="26" t="s">
        <v>115</v>
      </c>
      <c r="J10" s="25">
        <v>2</v>
      </c>
      <c r="L10" s="488" t="s">
        <v>187</v>
      </c>
      <c r="M10" s="488"/>
      <c r="N10" s="488"/>
      <c r="O10" s="488"/>
    </row>
    <row r="11" spans="8:15" x14ac:dyDescent="0.25">
      <c r="H11" s="25">
        <v>258.8</v>
      </c>
      <c r="I11" s="26">
        <v>4</v>
      </c>
      <c r="J11" s="27" t="s">
        <v>115</v>
      </c>
      <c r="L11" s="489"/>
      <c r="M11" s="489"/>
      <c r="N11" s="489"/>
      <c r="O11" s="489"/>
    </row>
    <row r="12" spans="8:15" x14ac:dyDescent="0.25">
      <c r="L12" s="497" t="s">
        <v>188</v>
      </c>
      <c r="M12" s="497"/>
      <c r="N12" s="497"/>
      <c r="O12" s="28">
        <v>249.273438</v>
      </c>
    </row>
    <row r="13" spans="8:15" x14ac:dyDescent="0.25">
      <c r="L13" s="497"/>
      <c r="M13" s="497"/>
      <c r="N13" s="497"/>
      <c r="O13" s="28">
        <v>249.29374999999999</v>
      </c>
    </row>
    <row r="14" spans="8:15" x14ac:dyDescent="0.25">
      <c r="L14" s="24"/>
      <c r="M14" s="490" t="s">
        <v>189</v>
      </c>
      <c r="N14" s="491"/>
      <c r="O14" s="28">
        <v>249.31406200000001</v>
      </c>
    </row>
    <row r="15" spans="8:15" x14ac:dyDescent="0.25">
      <c r="L15" s="25" t="s">
        <v>183</v>
      </c>
      <c r="M15" s="492"/>
      <c r="N15" s="493"/>
      <c r="O15" s="28">
        <v>249.33437499999999</v>
      </c>
    </row>
    <row r="16" spans="8:15" x14ac:dyDescent="0.25">
      <c r="L16" s="25" t="s">
        <v>184</v>
      </c>
      <c r="M16" s="494"/>
      <c r="N16" s="495"/>
      <c r="O16" s="28">
        <v>249.35468700000001</v>
      </c>
    </row>
    <row r="17" spans="8:10" x14ac:dyDescent="0.25">
      <c r="H17" s="486" t="s">
        <v>186</v>
      </c>
      <c r="I17" s="486"/>
      <c r="J17" s="486"/>
    </row>
    <row r="18" spans="8:10" x14ac:dyDescent="0.25">
      <c r="H18" s="487"/>
      <c r="I18" s="487"/>
      <c r="J18" s="487"/>
    </row>
    <row r="19" spans="8:10" x14ac:dyDescent="0.25">
      <c r="H19" s="24"/>
      <c r="I19" s="25" t="s">
        <v>127</v>
      </c>
      <c r="J19" s="25" t="s">
        <v>129</v>
      </c>
    </row>
    <row r="20" spans="8:10" x14ac:dyDescent="0.25">
      <c r="H20" s="25" t="s">
        <v>163</v>
      </c>
      <c r="I20" s="26" t="s">
        <v>114</v>
      </c>
      <c r="J20" s="25" t="s">
        <v>114</v>
      </c>
    </row>
    <row r="21" spans="8:10" x14ac:dyDescent="0.25">
      <c r="H21" s="25" t="s">
        <v>164</v>
      </c>
      <c r="I21" s="26">
        <v>3</v>
      </c>
      <c r="J21" s="26">
        <v>1</v>
      </c>
    </row>
    <row r="22" spans="8:10" x14ac:dyDescent="0.25">
      <c r="H22" s="25" t="s">
        <v>165</v>
      </c>
      <c r="I22" s="26">
        <v>4</v>
      </c>
      <c r="J22" s="26">
        <v>2</v>
      </c>
    </row>
    <row r="23" spans="8:10" x14ac:dyDescent="0.25">
      <c r="H23" s="25" t="s">
        <v>166</v>
      </c>
      <c r="I23" s="26">
        <v>5</v>
      </c>
      <c r="J23" s="26">
        <v>3</v>
      </c>
    </row>
    <row r="24" spans="8:10" x14ac:dyDescent="0.25">
      <c r="H24" s="25" t="s">
        <v>167</v>
      </c>
      <c r="I24" s="26">
        <v>6</v>
      </c>
      <c r="J24" s="26">
        <v>4</v>
      </c>
    </row>
    <row r="25" spans="8:10" x14ac:dyDescent="0.25">
      <c r="H25" s="25" t="s">
        <v>168</v>
      </c>
      <c r="I25" s="26" t="s">
        <v>115</v>
      </c>
      <c r="J25" s="25" t="s">
        <v>115</v>
      </c>
    </row>
    <row r="27" spans="8:10" x14ac:dyDescent="0.25">
      <c r="H27" s="472" t="s">
        <v>190</v>
      </c>
      <c r="I27" s="472"/>
      <c r="J27" s="472"/>
    </row>
    <row r="28" spans="8:10" x14ac:dyDescent="0.25">
      <c r="H28" s="472"/>
      <c r="I28" s="472"/>
      <c r="J28" s="472"/>
    </row>
    <row r="29" spans="8:10" x14ac:dyDescent="0.25">
      <c r="H29" s="472"/>
      <c r="I29" s="472"/>
      <c r="J29" s="472"/>
    </row>
  </sheetData>
  <mergeCells count="7">
    <mergeCell ref="H5:J6"/>
    <mergeCell ref="H17:J18"/>
    <mergeCell ref="L10:O11"/>
    <mergeCell ref="M14:N16"/>
    <mergeCell ref="H27:J29"/>
    <mergeCell ref="I7:J7"/>
    <mergeCell ref="L12:N13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21"/>
  <sheetViews>
    <sheetView zoomScale="160" zoomScaleNormal="160" workbookViewId="0"/>
  </sheetViews>
  <sheetFormatPr defaultRowHeight="15" x14ac:dyDescent="0.25"/>
  <cols>
    <col min="2" max="2" width="39.5703125" bestFit="1" customWidth="1"/>
  </cols>
  <sheetData>
    <row r="2" spans="2:2" x14ac:dyDescent="0.25">
      <c r="B2" s="182" t="s">
        <v>479</v>
      </c>
    </row>
    <row r="3" spans="2:2" x14ac:dyDescent="0.25">
      <c r="B3" s="182" t="s">
        <v>480</v>
      </c>
    </row>
    <row r="4" spans="2:2" x14ac:dyDescent="0.25">
      <c r="B4" s="183" t="s">
        <v>481</v>
      </c>
    </row>
    <row r="5" spans="2:2" x14ac:dyDescent="0.25">
      <c r="B5" s="183" t="s">
        <v>482</v>
      </c>
    </row>
    <row r="7" spans="2:2" x14ac:dyDescent="0.25">
      <c r="B7" s="184" t="s">
        <v>483</v>
      </c>
    </row>
    <row r="8" spans="2:2" x14ac:dyDescent="0.25">
      <c r="B8" s="184" t="s">
        <v>484</v>
      </c>
    </row>
    <row r="9" spans="2:2" ht="15.75" thickBot="1" x14ac:dyDescent="0.3"/>
    <row r="10" spans="2:2" ht="15.75" thickTop="1" x14ac:dyDescent="0.25">
      <c r="B10" s="185" t="s">
        <v>485</v>
      </c>
    </row>
    <row r="11" spans="2:2" x14ac:dyDescent="0.25">
      <c r="B11" s="182" t="s">
        <v>486</v>
      </c>
    </row>
    <row r="12" spans="2:2" x14ac:dyDescent="0.25">
      <c r="B12" s="182" t="s">
        <v>487</v>
      </c>
    </row>
    <row r="13" spans="2:2" x14ac:dyDescent="0.25">
      <c r="B13" s="183" t="s">
        <v>488</v>
      </c>
    </row>
    <row r="14" spans="2:2" x14ac:dyDescent="0.25">
      <c r="B14" s="183" t="s">
        <v>489</v>
      </c>
    </row>
    <row r="15" spans="2:2" x14ac:dyDescent="0.25">
      <c r="B15" s="184" t="s">
        <v>490</v>
      </c>
    </row>
    <row r="16" spans="2:2" x14ac:dyDescent="0.25">
      <c r="B16" s="184" t="s">
        <v>491</v>
      </c>
    </row>
    <row r="18" spans="2:2" x14ac:dyDescent="0.25">
      <c r="B18" s="186" t="s">
        <v>492</v>
      </c>
    </row>
    <row r="19" spans="2:2" x14ac:dyDescent="0.25">
      <c r="B19" s="186" t="s">
        <v>493</v>
      </c>
    </row>
    <row r="21" spans="2:2" x14ac:dyDescent="0.25">
      <c r="B21" s="186" t="s">
        <v>494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Channels</vt:lpstr>
      <vt:lpstr>Summary</vt:lpstr>
      <vt:lpstr>Ku x Ku</vt:lpstr>
      <vt:lpstr>C x C</vt:lpstr>
      <vt:lpstr>C x S</vt:lpstr>
      <vt:lpstr>S x C</vt:lpstr>
      <vt:lpstr>C x UHF DP</vt:lpstr>
      <vt:lpstr>C x UHF SAW</vt:lpstr>
      <vt:lpstr>UHF x C DP</vt:lpstr>
      <vt:lpstr>UHF x C SAW</vt:lpstr>
      <vt:lpstr>UHF x UHF</vt:lpstr>
      <vt:lpstr>BIU</vt:lpstr>
      <vt:lpstr>Beacon</vt:lpstr>
      <vt:lpstr>Ku x Ku ALC</vt:lpstr>
      <vt:lpstr>Summary - DP- no need to refer</vt:lpstr>
      <vt:lpstr>Subsystem T&amp;E- no need to refer</vt:lpstr>
      <vt:lpstr>DP SC TCTM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2025-06-01T11:19:02Z</dcterms:modified>
</cp:coreProperties>
</file>