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8575" windowHeight="9960" activeTab="2"/>
  </bookViews>
  <sheets>
    <sheet name="RT_ADDRESS" sheetId="1" r:id="rId1"/>
    <sheet name="CH_NCO1" sheetId="2" r:id="rId2"/>
    <sheet name="CFG" sheetId="3" r:id="rId3"/>
  </sheets>
  <calcPr calcId="124519"/>
</workbook>
</file>

<file path=xl/calcChain.xml><?xml version="1.0" encoding="utf-8"?>
<calcChain xmlns="http://schemas.openxmlformats.org/spreadsheetml/2006/main">
  <c r="E20" i="1"/>
  <c r="D20"/>
  <c r="F20" s="1"/>
  <c r="G20" s="1"/>
  <c r="E19"/>
  <c r="D19"/>
  <c r="F19" s="1"/>
  <c r="G19" s="1"/>
  <c r="E18"/>
  <c r="D18"/>
  <c r="F18" s="1"/>
  <c r="G18" s="1"/>
  <c r="E17"/>
  <c r="D17"/>
  <c r="F17" s="1"/>
  <c r="G17" s="1"/>
  <c r="E16"/>
  <c r="D16"/>
  <c r="F16" s="1"/>
  <c r="G16" s="1"/>
  <c r="E15"/>
  <c r="D15"/>
  <c r="F15" s="1"/>
  <c r="G15" s="1"/>
  <c r="E14"/>
  <c r="D14"/>
  <c r="F14" s="1"/>
  <c r="G14" s="1"/>
  <c r="E13"/>
  <c r="D13"/>
  <c r="F13" s="1"/>
  <c r="G13" s="1"/>
  <c r="E12"/>
  <c r="D12"/>
  <c r="F12" s="1"/>
  <c r="G12" s="1"/>
  <c r="E11"/>
  <c r="D11"/>
  <c r="F11" s="1"/>
  <c r="G11" s="1"/>
  <c r="E10"/>
  <c r="D10"/>
  <c r="F10" s="1"/>
  <c r="G10" s="1"/>
  <c r="E9"/>
  <c r="D9"/>
  <c r="F9" s="1"/>
  <c r="G9" s="1"/>
  <c r="E8"/>
  <c r="D8"/>
  <c r="F8" s="1"/>
  <c r="G8" s="1"/>
  <c r="E7"/>
  <c r="D7"/>
  <c r="F7" s="1"/>
  <c r="G7" s="1"/>
  <c r="E6"/>
  <c r="D6"/>
  <c r="F6" s="1"/>
  <c r="G6" s="1"/>
  <c r="E5"/>
  <c r="D5"/>
  <c r="F5" s="1"/>
  <c r="G5" s="1"/>
  <c r="E4"/>
  <c r="D4"/>
  <c r="F4" s="1"/>
  <c r="G4" s="1"/>
  <c r="E3"/>
  <c r="D3"/>
  <c r="F3" s="1"/>
  <c r="G3" s="1"/>
  <c r="E2"/>
  <c r="D2"/>
  <c r="F2" s="1"/>
  <c r="G2" s="1"/>
</calcChain>
</file>

<file path=xl/comments1.xml><?xml version="1.0" encoding="utf-8"?>
<comments xmlns="http://schemas.openxmlformats.org/spreadsheetml/2006/main">
  <authors>
    <author>keysight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
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Separate Command for each port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 for 4 com chaanels 0-&gt;30khz,1-&gt;10KHz</t>
        </r>
      </text>
    </comment>
    <comment ref="J1" authorId="0">
      <text>
        <r>
          <rPr>
            <b/>
            <sz val="9"/>
            <color indexed="81"/>
            <rFont val="Tahoma"/>
            <charset val="1"/>
          </rPr>
          <t>keysight: Single Command for for all com channels</t>
        </r>
        <r>
          <rPr>
            <sz val="9"/>
            <color indexed="81"/>
            <rFont val="Tahoma"/>
            <charset val="1"/>
          </rPr>
          <t xml:space="preserve">
Bit[3 to 0]= Gain control value for 30KHz band or 10KHz CENTER 
Bit[7 to 4]= Gain control value for 10KHz band1 
Bit[11 to 8]= Gain control value for 10KHz band2 
Bit[15 to 12]= Gain control value for 10KHz band3 
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keysight:</t>
        </r>
        <r>
          <rPr>
            <sz val="9"/>
            <color indexed="81"/>
            <rFont val="Tahoma"/>
            <charset val="1"/>
          </rPr>
          <t xml:space="preserve">
Single Command for 4 com channels</t>
        </r>
      </text>
    </comment>
  </commentList>
</comments>
</file>

<file path=xl/sharedStrings.xml><?xml version="1.0" encoding="utf-8"?>
<sst xmlns="http://schemas.openxmlformats.org/spreadsheetml/2006/main" count="108" uniqueCount="84">
  <si>
    <t>no of 8 Bit words</t>
  </si>
  <si>
    <t>RT_ADDRESS</t>
  </si>
  <si>
    <t>SUB_ADDRESS</t>
  </si>
  <si>
    <t>ADDRESS</t>
  </si>
  <si>
    <t>001</t>
  </si>
  <si>
    <t>010</t>
  </si>
  <si>
    <t>011</t>
  </si>
  <si>
    <t>100</t>
  </si>
  <si>
    <t>101</t>
  </si>
  <si>
    <t>110</t>
  </si>
  <si>
    <t>FREQUENCY</t>
  </si>
  <si>
    <t>CODE</t>
  </si>
  <si>
    <t>f1</t>
  </si>
  <si>
    <t>f2</t>
  </si>
  <si>
    <t>f3</t>
  </si>
  <si>
    <t>f4</t>
  </si>
  <si>
    <t>f5</t>
  </si>
  <si>
    <t>f6</t>
  </si>
  <si>
    <t>CONFIG</t>
  </si>
  <si>
    <t>CHANNELIZER_IP_FREQUENCIES</t>
  </si>
  <si>
    <t>m1_1</t>
  </si>
  <si>
    <t>m1_2</t>
  </si>
  <si>
    <t>m1_3</t>
  </si>
  <si>
    <t>m1_4</t>
  </si>
  <si>
    <t>m2_1</t>
  </si>
  <si>
    <t>m2_2</t>
  </si>
  <si>
    <t>m1_5</t>
  </si>
  <si>
    <t>m1_6</t>
  </si>
  <si>
    <t>m1_7</t>
  </si>
  <si>
    <t>m1_8</t>
  </si>
  <si>
    <t>m2_3</t>
  </si>
  <si>
    <t>m2_4</t>
  </si>
  <si>
    <t>m2_5</t>
  </si>
  <si>
    <t>m2_6</t>
  </si>
  <si>
    <t>m2_7</t>
  </si>
  <si>
    <t>m2_8</t>
  </si>
  <si>
    <t>1010</t>
  </si>
  <si>
    <t>SNO</t>
  </si>
  <si>
    <t>r1_1</t>
  </si>
  <si>
    <t>r1_2</t>
  </si>
  <si>
    <t>r2_1</t>
  </si>
  <si>
    <t>r2_2</t>
  </si>
  <si>
    <t>2,2,2,2</t>
  </si>
  <si>
    <t>2,2,2,3</t>
  </si>
  <si>
    <t>2,2,2,4</t>
  </si>
  <si>
    <t>2,2,2,5</t>
  </si>
  <si>
    <t>EPC_SELECT_CHANNELIZER</t>
  </si>
  <si>
    <t>EPC_SELECT_CHANNELIZER_BIT</t>
  </si>
  <si>
    <t>EPC_SELECT_SYNTHESIZER</t>
  </si>
  <si>
    <t>EPC_SELECT_SYNTHESIZER_BIT</t>
  </si>
  <si>
    <t>FL_S_M1</t>
  </si>
  <si>
    <t>FL_S_M2</t>
  </si>
  <si>
    <t>FL_S_R</t>
  </si>
  <si>
    <t>RL_S_M</t>
  </si>
  <si>
    <t>RL_S_R</t>
  </si>
  <si>
    <t>FL_C_R</t>
  </si>
  <si>
    <t>RL_C_M1</t>
  </si>
  <si>
    <t>RL_C_M2</t>
  </si>
  <si>
    <t>RL_C_R1</t>
  </si>
  <si>
    <t>RL_C_R2</t>
  </si>
  <si>
    <t>FL_C_M</t>
  </si>
  <si>
    <t>FL_SYNTHESIZER_AND_OP_PORT</t>
  </si>
  <si>
    <t xml:space="preserve">B2_FL_S_M1__OP_P2_253.5MHZ </t>
  </si>
  <si>
    <t xml:space="preserve">B3_FL_S_M2__OP_P1_258.5MHZ </t>
  </si>
  <si>
    <t xml:space="preserve">B4_FL_S_M2__OP_P2_243.5MHZ </t>
  </si>
  <si>
    <t xml:space="preserve">B1_FL_S_M1__OP_P1_248.4MHZ </t>
  </si>
  <si>
    <t>FL_SYNTHESIZER_NCO_PHASE</t>
  </si>
  <si>
    <t>1,1,255</t>
  </si>
  <si>
    <t>1,1,256</t>
  </si>
  <si>
    <t>1,1,257</t>
  </si>
  <si>
    <t>MESH_LINK</t>
  </si>
  <si>
    <t>E,C1,P13</t>
  </si>
  <si>
    <t>D,C1,P13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</si>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</sst>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7" sqref="B7:B10"/>
    </sheetView>
  </sheetViews>
  <sheetFormatPr defaultRowHeight="15"/>
  <cols>
    <col min="1" max="1" width="10.7109375" bestFit="1" customWidth="1"/>
    <col min="2" max="2" width="15.5703125" customWidth="1"/>
    <col min="3" max="3" width="15.85546875" bestFit="1" customWidth="1"/>
    <col min="4" max="5" width="6" bestFit="1" customWidth="1"/>
    <col min="6" max="6" width="11" bestFit="1" customWidth="1"/>
    <col min="7" max="7" width="12" customWidth="1"/>
  </cols>
  <sheetData>
    <row r="1" spans="1:7">
      <c r="A1" t="s">
        <v>1</v>
      </c>
      <c r="B1" t="s">
        <v>2</v>
      </c>
      <c r="C1" t="s">
        <v>0</v>
      </c>
      <c r="G1" t="s">
        <v>3</v>
      </c>
    </row>
    <row r="2" spans="1:7">
      <c r="A2">
        <v>3</v>
      </c>
      <c r="B2">
        <v>1</v>
      </c>
      <c r="C2">
        <v>2</v>
      </c>
      <c r="D2" t="str">
        <f>DEC2BIN(A2,5)</f>
        <v>00011</v>
      </c>
      <c r="E2" t="str">
        <f>DEC2BIN(B2,5)</f>
        <v>00001</v>
      </c>
      <c r="F2" t="str">
        <f>CONCATENATE(D2,E2)</f>
        <v>0001100001</v>
      </c>
      <c r="G2" t="str">
        <f>BIN2HEX(F2,4)</f>
        <v>0061</v>
      </c>
    </row>
    <row r="3" spans="1:7">
      <c r="A3">
        <v>3</v>
      </c>
      <c r="B3">
        <v>2</v>
      </c>
      <c r="C3">
        <v>2</v>
      </c>
      <c r="D3" t="str">
        <f t="shared" ref="D3:E20" si="0">DEC2BIN(A3,5)</f>
        <v>00011</v>
      </c>
      <c r="E3" t="str">
        <f t="shared" si="0"/>
        <v>00010</v>
      </c>
      <c r="F3" t="str">
        <f t="shared" ref="F3:F20" si="1">CONCATENATE(D3,E3)</f>
        <v>0001100010</v>
      </c>
      <c r="G3" t="str">
        <f t="shared" ref="G3:G20" si="2">BIN2HEX(F3,4)</f>
        <v>0062</v>
      </c>
    </row>
    <row r="4" spans="1:7">
      <c r="A4">
        <v>3</v>
      </c>
      <c r="B4">
        <v>3</v>
      </c>
      <c r="C4">
        <v>2</v>
      </c>
      <c r="D4" t="str">
        <f t="shared" si="0"/>
        <v>00011</v>
      </c>
      <c r="E4" t="str">
        <f t="shared" si="0"/>
        <v>00011</v>
      </c>
      <c r="F4" t="str">
        <f t="shared" si="1"/>
        <v>0001100011</v>
      </c>
      <c r="G4" t="str">
        <f t="shared" si="2"/>
        <v>0063</v>
      </c>
    </row>
    <row r="5" spans="1:7">
      <c r="A5">
        <v>3</v>
      </c>
      <c r="B5">
        <v>4</v>
      </c>
      <c r="C5">
        <v>6</v>
      </c>
      <c r="D5" t="str">
        <f t="shared" si="0"/>
        <v>00011</v>
      </c>
      <c r="E5" t="str">
        <f t="shared" si="0"/>
        <v>00100</v>
      </c>
      <c r="F5" t="str">
        <f t="shared" si="1"/>
        <v>0001100100</v>
      </c>
      <c r="G5" t="str">
        <f t="shared" si="2"/>
        <v>0064</v>
      </c>
    </row>
    <row r="6" spans="1:7">
      <c r="A6">
        <v>3</v>
      </c>
      <c r="B6">
        <v>5</v>
      </c>
      <c r="C6">
        <v>4</v>
      </c>
      <c r="D6" t="str">
        <f t="shared" si="0"/>
        <v>00011</v>
      </c>
      <c r="E6" t="str">
        <f t="shared" si="0"/>
        <v>00101</v>
      </c>
      <c r="F6" t="str">
        <f t="shared" si="1"/>
        <v>0001100101</v>
      </c>
      <c r="G6" t="str">
        <f t="shared" si="2"/>
        <v>0065</v>
      </c>
    </row>
    <row r="7" spans="1:7">
      <c r="A7">
        <v>3</v>
      </c>
      <c r="B7">
        <v>6</v>
      </c>
      <c r="C7">
        <v>2</v>
      </c>
      <c r="D7" t="str">
        <f t="shared" si="0"/>
        <v>00011</v>
      </c>
      <c r="E7" t="str">
        <f t="shared" si="0"/>
        <v>00110</v>
      </c>
      <c r="F7" t="str">
        <f t="shared" si="1"/>
        <v>0001100110</v>
      </c>
      <c r="G7" t="str">
        <f t="shared" si="2"/>
        <v>0066</v>
      </c>
    </row>
    <row r="8" spans="1:7">
      <c r="A8">
        <v>3</v>
      </c>
      <c r="B8">
        <v>7</v>
      </c>
      <c r="C8">
        <v>2</v>
      </c>
      <c r="D8" t="str">
        <f t="shared" si="0"/>
        <v>00011</v>
      </c>
      <c r="E8" t="str">
        <f t="shared" si="0"/>
        <v>00111</v>
      </c>
      <c r="F8" t="str">
        <f t="shared" si="1"/>
        <v>0001100111</v>
      </c>
      <c r="G8" t="str">
        <f t="shared" si="2"/>
        <v>0067</v>
      </c>
    </row>
    <row r="9" spans="1:7">
      <c r="A9">
        <v>3</v>
      </c>
      <c r="B9">
        <v>8</v>
      </c>
      <c r="C9">
        <v>2</v>
      </c>
      <c r="D9" t="str">
        <f t="shared" si="0"/>
        <v>00011</v>
      </c>
      <c r="E9" t="str">
        <f t="shared" si="0"/>
        <v>01000</v>
      </c>
      <c r="F9" t="str">
        <f t="shared" si="1"/>
        <v>0001101000</v>
      </c>
      <c r="G9" t="str">
        <f t="shared" si="2"/>
        <v>0068</v>
      </c>
    </row>
    <row r="10" spans="1:7">
      <c r="A10">
        <v>3</v>
      </c>
      <c r="B10">
        <v>9</v>
      </c>
      <c r="C10">
        <v>2</v>
      </c>
      <c r="D10" t="str">
        <f t="shared" si="0"/>
        <v>00011</v>
      </c>
      <c r="E10" t="str">
        <f t="shared" si="0"/>
        <v>01001</v>
      </c>
      <c r="F10" t="str">
        <f t="shared" si="1"/>
        <v>0001101001</v>
      </c>
      <c r="G10" t="str">
        <f t="shared" si="2"/>
        <v>0069</v>
      </c>
    </row>
    <row r="11" spans="1:7">
      <c r="A11">
        <v>3</v>
      </c>
      <c r="B11">
        <v>10</v>
      </c>
      <c r="C11">
        <v>24</v>
      </c>
      <c r="D11" t="str">
        <f t="shared" si="0"/>
        <v>00011</v>
      </c>
      <c r="E11" t="str">
        <f t="shared" si="0"/>
        <v>01010</v>
      </c>
      <c r="F11" t="str">
        <f t="shared" si="1"/>
        <v>0001101010</v>
      </c>
      <c r="G11" t="str">
        <f t="shared" si="2"/>
        <v>006A</v>
      </c>
    </row>
    <row r="12" spans="1:7">
      <c r="A12">
        <v>3</v>
      </c>
      <c r="B12">
        <v>11</v>
      </c>
      <c r="C12">
        <v>4</v>
      </c>
      <c r="D12" t="str">
        <f t="shared" si="0"/>
        <v>00011</v>
      </c>
      <c r="E12" t="str">
        <f t="shared" si="0"/>
        <v>01011</v>
      </c>
      <c r="F12" t="str">
        <f t="shared" si="1"/>
        <v>0001101011</v>
      </c>
      <c r="G12" t="str">
        <f t="shared" si="2"/>
        <v>006B</v>
      </c>
    </row>
    <row r="13" spans="1:7">
      <c r="A13">
        <v>3</v>
      </c>
      <c r="B13">
        <v>12</v>
      </c>
      <c r="C13">
        <v>16</v>
      </c>
      <c r="D13" t="str">
        <f t="shared" si="0"/>
        <v>00011</v>
      </c>
      <c r="E13" t="str">
        <f t="shared" si="0"/>
        <v>01100</v>
      </c>
      <c r="F13" t="str">
        <f t="shared" si="1"/>
        <v>0001101100</v>
      </c>
      <c r="G13" t="str">
        <f t="shared" si="2"/>
        <v>006C</v>
      </c>
    </row>
    <row r="14" spans="1:7">
      <c r="A14">
        <v>3</v>
      </c>
      <c r="B14">
        <v>13</v>
      </c>
      <c r="C14">
        <v>8</v>
      </c>
      <c r="D14" t="str">
        <f t="shared" si="0"/>
        <v>00011</v>
      </c>
      <c r="E14" t="str">
        <f t="shared" si="0"/>
        <v>01101</v>
      </c>
      <c r="F14" t="str">
        <f t="shared" si="1"/>
        <v>0001101101</v>
      </c>
      <c r="G14" t="str">
        <f t="shared" si="2"/>
        <v>006D</v>
      </c>
    </row>
    <row r="15" spans="1:7">
      <c r="A15">
        <v>3</v>
      </c>
      <c r="B15">
        <v>14</v>
      </c>
      <c r="C15">
        <v>2</v>
      </c>
      <c r="D15" t="str">
        <f t="shared" si="0"/>
        <v>00011</v>
      </c>
      <c r="E15" t="str">
        <f t="shared" si="0"/>
        <v>01110</v>
      </c>
      <c r="F15" t="str">
        <f t="shared" si="1"/>
        <v>0001101110</v>
      </c>
      <c r="G15" t="str">
        <f t="shared" si="2"/>
        <v>006E</v>
      </c>
    </row>
    <row r="16" spans="1:7">
      <c r="A16">
        <v>3</v>
      </c>
      <c r="B16">
        <v>15</v>
      </c>
      <c r="C16">
        <v>2</v>
      </c>
      <c r="D16" t="str">
        <f t="shared" si="0"/>
        <v>00011</v>
      </c>
      <c r="E16" t="str">
        <f t="shared" si="0"/>
        <v>01111</v>
      </c>
      <c r="F16" t="str">
        <f t="shared" si="1"/>
        <v>0001101111</v>
      </c>
      <c r="G16" t="str">
        <f t="shared" si="2"/>
        <v>006F</v>
      </c>
    </row>
    <row r="17" spans="1:7">
      <c r="A17">
        <v>3</v>
      </c>
      <c r="B17">
        <v>16</v>
      </c>
      <c r="C17">
        <v>4</v>
      </c>
      <c r="D17" t="str">
        <f t="shared" si="0"/>
        <v>00011</v>
      </c>
      <c r="E17" t="str">
        <f t="shared" si="0"/>
        <v>10000</v>
      </c>
      <c r="F17" t="str">
        <f t="shared" si="1"/>
        <v>0001110000</v>
      </c>
      <c r="G17" t="str">
        <f t="shared" si="2"/>
        <v>0070</v>
      </c>
    </row>
    <row r="18" spans="1:7">
      <c r="A18">
        <v>3</v>
      </c>
      <c r="B18">
        <v>17</v>
      </c>
      <c r="C18">
        <v>2</v>
      </c>
      <c r="D18" t="str">
        <f t="shared" si="0"/>
        <v>00011</v>
      </c>
      <c r="E18" t="str">
        <f t="shared" si="0"/>
        <v>10001</v>
      </c>
      <c r="F18" t="str">
        <f t="shared" si="1"/>
        <v>0001110001</v>
      </c>
      <c r="G18" t="str">
        <f t="shared" si="2"/>
        <v>0071</v>
      </c>
    </row>
    <row r="19" spans="1:7">
      <c r="A19">
        <v>3</v>
      </c>
      <c r="B19">
        <v>18</v>
      </c>
      <c r="C19">
        <v>2</v>
      </c>
      <c r="D19" t="str">
        <f t="shared" si="0"/>
        <v>00011</v>
      </c>
      <c r="E19" t="str">
        <f t="shared" si="0"/>
        <v>10010</v>
      </c>
      <c r="F19" t="str">
        <f t="shared" si="1"/>
        <v>0001110010</v>
      </c>
      <c r="G19" t="str">
        <f t="shared" si="2"/>
        <v>0072</v>
      </c>
    </row>
    <row r="20" spans="1:7">
      <c r="A20">
        <v>3</v>
      </c>
      <c r="B20">
        <v>19</v>
      </c>
      <c r="C20">
        <v>2</v>
      </c>
      <c r="D20" t="str">
        <f t="shared" si="0"/>
        <v>00011</v>
      </c>
      <c r="E20" t="str">
        <f t="shared" si="0"/>
        <v>10011</v>
      </c>
      <c r="F20" t="str">
        <f t="shared" si="1"/>
        <v>0001110011</v>
      </c>
      <c r="G20" t="str">
        <f t="shared" si="2"/>
        <v>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6" sqref="A6"/>
    </sheetView>
  </sheetViews>
  <sheetFormatPr defaultRowHeight="15"/>
  <cols>
    <col min="1" max="1" width="42" customWidth="1"/>
    <col min="2" max="2" width="13.140625" customWidth="1"/>
    <col min="3" max="3" width="21" customWidth="1"/>
  </cols>
  <sheetData>
    <row r="1" spans="1:3">
      <c r="A1" t="s">
        <v>19</v>
      </c>
      <c r="B1" t="s">
        <v>10</v>
      </c>
      <c r="C1" t="s">
        <v>11</v>
      </c>
    </row>
    <row r="2" spans="1:3">
      <c r="A2" t="s">
        <v>12</v>
      </c>
      <c r="B2">
        <v>292.5</v>
      </c>
      <c r="C2" s="1" t="s">
        <v>4</v>
      </c>
    </row>
    <row r="3" spans="1:3">
      <c r="A3" t="s">
        <v>13</v>
      </c>
      <c r="B3">
        <v>297.5</v>
      </c>
      <c r="C3" s="1" t="s">
        <v>5</v>
      </c>
    </row>
    <row r="4" spans="1:3">
      <c r="A4" t="s">
        <v>14</v>
      </c>
      <c r="B4">
        <v>302.5</v>
      </c>
      <c r="C4" s="1" t="s">
        <v>6</v>
      </c>
    </row>
    <row r="5" spans="1:3">
      <c r="A5" t="s">
        <v>15</v>
      </c>
      <c r="B5">
        <v>307.5</v>
      </c>
      <c r="C5" s="1" t="s">
        <v>7</v>
      </c>
    </row>
    <row r="6" spans="1:3">
      <c r="A6" t="s">
        <v>16</v>
      </c>
      <c r="B6">
        <v>312.5</v>
      </c>
      <c r="C6" s="1" t="s">
        <v>8</v>
      </c>
    </row>
    <row r="7" spans="1:3">
      <c r="A7" t="s">
        <v>17</v>
      </c>
      <c r="B7">
        <v>317.5</v>
      </c>
      <c r="C7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>
      <selection activeCell="E22" sqref="E22"/>
    </sheetView>
  </sheetViews>
  <sheetFormatPr defaultRowHeight="15"/>
  <cols>
    <col min="1" max="1" width="4.85546875" bestFit="1" customWidth="1"/>
    <col min="3" max="3" width="23" bestFit="1" customWidth="1"/>
    <col min="4" max="4" width="29.42578125" bestFit="1" customWidth="1"/>
    <col min="5" max="5" width="31.5703125" customWidth="1"/>
    <col min="6" max="6" width="37.85546875" customWidth="1"/>
    <col min="7" max="7" width="29.28515625" customWidth="1"/>
    <col min="8" max="8" width="24.42578125" bestFit="1" customWidth="1"/>
    <col min="9" max="9" width="25" customWidth="1"/>
    <col min="10" max="10" width="20.7109375" customWidth="1"/>
    <col min="11" max="11" width="30.7109375" customWidth="1"/>
    <col min="12" max="12" width="19" customWidth="1"/>
    <col min="13" max="13" width="26.42578125" customWidth="1"/>
    <col min="14" max="14" width="38.28515625" style="4" customWidth="1"/>
    <col min="15" max="15" width="31" style="4" customWidth="1"/>
    <col min="16" max="16" width="24.85546875" bestFit="1" customWidth="1"/>
    <col min="17" max="17" width="45.140625" customWidth="1"/>
    <col min="18" max="18" width="40" customWidth="1"/>
    <col min="19" max="19" width="40.28515625" customWidth="1"/>
    <col min="20" max="20" width="20.28515625" customWidth="1"/>
  </cols>
  <sheetData>
    <row r="1" spans="1:20">
      <c r="A1" t="s">
        <v>37</v>
      </c>
      <c r="B1" t="s">
        <v>18</v>
      </c>
      <c r="C1" s="5" t="s">
        <v>73</v>
      </c>
      <c r="D1" s="5" t="s">
        <v>74</v>
      </c>
      <c r="E1" s="7" t="s">
        <v>75</v>
      </c>
      <c r="F1" s="7" t="s">
        <v>76</v>
      </c>
      <c r="G1" s="8" t="s">
        <v>77</v>
      </c>
      <c r="H1" s="8" t="s">
        <v>78</v>
      </c>
      <c r="I1" s="9" t="s">
        <v>79</v>
      </c>
      <c r="J1" s="6" t="s">
        <v>80</v>
      </c>
      <c r="K1" s="10" t="s">
        <v>81</v>
      </c>
      <c r="L1" t="s">
        <v>82</v>
      </c>
      <c r="M1" t="s">
        <v>83</v>
      </c>
      <c r="N1" s="11" t="s">
        <v>46</v>
      </c>
      <c r="O1" s="11" t="s">
        <v>47</v>
      </c>
      <c r="P1" s="13" t="s">
        <v>48</v>
      </c>
      <c r="Q1" s="13" t="s">
        <v>49</v>
      </c>
      <c r="R1" s="12" t="s">
        <v>61</v>
      </c>
      <c r="S1" s="14" t="s">
        <v>66</v>
      </c>
      <c r="T1" s="11" t="s">
        <v>70</v>
      </c>
    </row>
    <row r="2" spans="1:20" ht="26.25" customHeight="1">
      <c r="A2">
        <v>1</v>
      </c>
      <c r="B2">
        <v>1</v>
      </c>
      <c r="C2" s="2" t="s">
        <v>20</v>
      </c>
      <c r="D2" s="2" t="s">
        <v>12</v>
      </c>
      <c r="E2" t="s">
        <v>20</v>
      </c>
      <c r="F2">
        <v>36</v>
      </c>
      <c r="G2" t="s">
        <v>20</v>
      </c>
      <c r="H2" t="s">
        <v>24</v>
      </c>
      <c r="I2" s="3" t="s">
        <v>36</v>
      </c>
      <c r="J2" t="s">
        <v>42</v>
      </c>
      <c r="K2">
        <v>36</v>
      </c>
      <c r="N2" s="4" t="s">
        <v>60</v>
      </c>
      <c r="O2" s="4">
        <v>0</v>
      </c>
      <c r="P2" t="s">
        <v>50</v>
      </c>
      <c r="Q2">
        <v>0</v>
      </c>
      <c r="R2" t="s">
        <v>65</v>
      </c>
      <c r="S2" t="s">
        <v>67</v>
      </c>
      <c r="T2" t="s">
        <v>71</v>
      </c>
    </row>
    <row r="3" spans="1:20">
      <c r="A3">
        <v>2</v>
      </c>
      <c r="B3">
        <v>1</v>
      </c>
      <c r="C3" s="2" t="s">
        <v>21</v>
      </c>
      <c r="D3" t="s">
        <v>13</v>
      </c>
      <c r="E3" t="s">
        <v>21</v>
      </c>
      <c r="F3">
        <v>36</v>
      </c>
      <c r="G3" t="s">
        <v>21</v>
      </c>
      <c r="H3" t="s">
        <v>25</v>
      </c>
      <c r="J3" t="s">
        <v>43</v>
      </c>
      <c r="K3">
        <v>36</v>
      </c>
      <c r="N3" s="4" t="s">
        <v>55</v>
      </c>
      <c r="O3" s="4">
        <v>0</v>
      </c>
      <c r="P3" t="s">
        <v>51</v>
      </c>
      <c r="Q3">
        <v>0</v>
      </c>
      <c r="R3" t="s">
        <v>62</v>
      </c>
      <c r="S3" t="s">
        <v>68</v>
      </c>
      <c r="T3" t="s">
        <v>72</v>
      </c>
    </row>
    <row r="4" spans="1:20">
      <c r="A4">
        <v>3</v>
      </c>
      <c r="B4">
        <v>1</v>
      </c>
      <c r="C4" s="2" t="s">
        <v>24</v>
      </c>
      <c r="D4" s="2" t="s">
        <v>14</v>
      </c>
      <c r="E4" t="s">
        <v>22</v>
      </c>
      <c r="F4">
        <v>36</v>
      </c>
      <c r="G4" t="s">
        <v>22</v>
      </c>
      <c r="H4" t="s">
        <v>30</v>
      </c>
      <c r="J4" t="s">
        <v>44</v>
      </c>
      <c r="K4">
        <v>36</v>
      </c>
      <c r="N4" s="4" t="s">
        <v>56</v>
      </c>
      <c r="O4" s="4">
        <v>1</v>
      </c>
      <c r="P4" t="s">
        <v>52</v>
      </c>
      <c r="Q4">
        <v>0</v>
      </c>
      <c r="R4" t="s">
        <v>63</v>
      </c>
      <c r="S4" t="s">
        <v>69</v>
      </c>
    </row>
    <row r="5" spans="1:20">
      <c r="A5">
        <v>4</v>
      </c>
      <c r="B5">
        <v>1</v>
      </c>
      <c r="C5" s="2" t="s">
        <v>25</v>
      </c>
      <c r="D5" t="s">
        <v>15</v>
      </c>
      <c r="E5" t="s">
        <v>23</v>
      </c>
      <c r="F5">
        <v>36</v>
      </c>
      <c r="G5" t="s">
        <v>23</v>
      </c>
      <c r="H5" t="s">
        <v>31</v>
      </c>
      <c r="J5" t="s">
        <v>45</v>
      </c>
      <c r="K5">
        <v>36</v>
      </c>
      <c r="N5" s="4" t="s">
        <v>57</v>
      </c>
      <c r="O5" s="4">
        <v>1</v>
      </c>
      <c r="P5" t="s">
        <v>53</v>
      </c>
      <c r="Q5">
        <v>1</v>
      </c>
      <c r="R5" t="s">
        <v>64</v>
      </c>
    </row>
    <row r="6" spans="1:20">
      <c r="A6">
        <v>5</v>
      </c>
      <c r="B6">
        <v>1</v>
      </c>
      <c r="C6" s="2" t="s">
        <v>38</v>
      </c>
      <c r="D6" s="2" t="s">
        <v>12</v>
      </c>
      <c r="E6" t="s">
        <v>26</v>
      </c>
      <c r="F6">
        <v>36</v>
      </c>
      <c r="H6" t="s">
        <v>32</v>
      </c>
      <c r="N6" s="4" t="s">
        <v>58</v>
      </c>
      <c r="O6" s="4">
        <v>0</v>
      </c>
      <c r="P6" t="s">
        <v>54</v>
      </c>
      <c r="Q6">
        <v>0</v>
      </c>
    </row>
    <row r="7" spans="1:20">
      <c r="A7">
        <v>6</v>
      </c>
      <c r="B7">
        <v>1</v>
      </c>
      <c r="C7" s="2" t="s">
        <v>39</v>
      </c>
      <c r="D7" t="s">
        <v>13</v>
      </c>
      <c r="E7" t="s">
        <v>27</v>
      </c>
      <c r="F7">
        <v>36</v>
      </c>
      <c r="H7" t="s">
        <v>33</v>
      </c>
      <c r="N7" s="4" t="s">
        <v>59</v>
      </c>
      <c r="O7" s="4">
        <v>0</v>
      </c>
    </row>
    <row r="8" spans="1:20">
      <c r="A8">
        <v>7</v>
      </c>
      <c r="B8">
        <v>1</v>
      </c>
      <c r="C8" s="2" t="s">
        <v>40</v>
      </c>
      <c r="D8" s="2" t="s">
        <v>14</v>
      </c>
      <c r="E8" t="s">
        <v>28</v>
      </c>
      <c r="F8">
        <v>36</v>
      </c>
      <c r="H8" t="s">
        <v>34</v>
      </c>
    </row>
    <row r="9" spans="1:20">
      <c r="A9">
        <v>8</v>
      </c>
      <c r="B9">
        <v>1</v>
      </c>
      <c r="C9" s="2" t="s">
        <v>41</v>
      </c>
      <c r="D9" t="s">
        <v>15</v>
      </c>
      <c r="E9" t="s">
        <v>29</v>
      </c>
      <c r="F9">
        <v>36</v>
      </c>
      <c r="H9" t="s">
        <v>35</v>
      </c>
    </row>
    <row r="10" spans="1:20">
      <c r="A10">
        <v>9</v>
      </c>
      <c r="B10">
        <v>1</v>
      </c>
      <c r="E10" t="s">
        <v>24</v>
      </c>
      <c r="F10">
        <v>36</v>
      </c>
    </row>
    <row r="11" spans="1:20">
      <c r="A11">
        <v>10</v>
      </c>
      <c r="B11">
        <v>1</v>
      </c>
      <c r="E11" t="s">
        <v>25</v>
      </c>
      <c r="F11">
        <v>36</v>
      </c>
    </row>
    <row r="12" spans="1:20">
      <c r="A12">
        <v>11</v>
      </c>
      <c r="B12">
        <v>1</v>
      </c>
      <c r="E12" t="s">
        <v>30</v>
      </c>
      <c r="F12">
        <v>36</v>
      </c>
    </row>
    <row r="13" spans="1:20">
      <c r="A13">
        <v>12</v>
      </c>
      <c r="B13">
        <v>1</v>
      </c>
      <c r="E13" t="s">
        <v>31</v>
      </c>
      <c r="F13">
        <v>36</v>
      </c>
    </row>
    <row r="14" spans="1:20">
      <c r="A14">
        <v>13</v>
      </c>
      <c r="B14">
        <v>1</v>
      </c>
      <c r="E14" t="s">
        <v>32</v>
      </c>
      <c r="F14">
        <v>36</v>
      </c>
    </row>
    <row r="15" spans="1:20">
      <c r="A15">
        <v>14</v>
      </c>
      <c r="B15">
        <v>1</v>
      </c>
      <c r="E15" t="s">
        <v>33</v>
      </c>
      <c r="F15">
        <v>36</v>
      </c>
    </row>
    <row r="16" spans="1:20">
      <c r="A16">
        <v>15</v>
      </c>
      <c r="B16">
        <v>1</v>
      </c>
      <c r="E16" t="s">
        <v>34</v>
      </c>
      <c r="F16">
        <v>36</v>
      </c>
    </row>
    <row r="17" spans="1:6">
      <c r="A17">
        <v>16</v>
      </c>
      <c r="B17">
        <v>1</v>
      </c>
      <c r="E17" t="s">
        <v>35</v>
      </c>
      <c r="F17">
        <v>36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RT_ADDRESS</vt:lpstr>
      <vt:lpstr>CH_NCO1</vt:lpstr>
      <vt:lpstr>CFG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dev3</dc:creator>
  <cp:lastModifiedBy>keysight</cp:lastModifiedBy>
  <dcterms:created xsi:type="dcterms:W3CDTF">2025-06-10T03:57:01Z</dcterms:created>
  <dcterms:modified xsi:type="dcterms:W3CDTF">2025-06-16T11:20:56Z</dcterms:modified>
</cp:coreProperties>
</file>