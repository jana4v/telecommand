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65" yWindow="135" windowWidth="28575" windowHeight="9960" activeTab="2"/>
  </bookViews>
  <sheets>
    <sheet name="RT_ADDRESS" sheetId="1" r:id="rId1"/>
    <sheet name="CH_NCO1" sheetId="2" r:id="rId2"/>
    <sheet name="CFG" sheetId="3" r:id="rId3"/>
    <sheet name="Sheet1" sheetId="4" r:id="rId4"/>
  </sheets>
  <calcPr calcId="124519"/>
</workbook>
</file>

<file path=xl/calcChain.xml><?xml version="1.0" encoding="utf-8"?>
<calcChain xmlns="http://schemas.openxmlformats.org/spreadsheetml/2006/main">
  <c r="E20" i="1"/>
  <c r="D20"/>
  <c r="F20" s="1"/>
  <c r="G20" s="1"/>
  <c r="E19"/>
  <c r="D19"/>
  <c r="F19" s="1"/>
  <c r="G19" s="1"/>
  <c r="E18"/>
  <c r="D18"/>
  <c r="F18" s="1"/>
  <c r="G18" s="1"/>
  <c r="E17"/>
  <c r="D17"/>
  <c r="F17" s="1"/>
  <c r="G17" s="1"/>
  <c r="E16"/>
  <c r="D16"/>
  <c r="F16" s="1"/>
  <c r="G16" s="1"/>
  <c r="E15"/>
  <c r="D15"/>
  <c r="F15" s="1"/>
  <c r="G15" s="1"/>
  <c r="E14"/>
  <c r="D14"/>
  <c r="F14" s="1"/>
  <c r="G14" s="1"/>
  <c r="E13"/>
  <c r="D13"/>
  <c r="F13" s="1"/>
  <c r="G13" s="1"/>
  <c r="E12"/>
  <c r="D12"/>
  <c r="F12" s="1"/>
  <c r="G12" s="1"/>
  <c r="E11"/>
  <c r="D11"/>
  <c r="F11" s="1"/>
  <c r="G11" s="1"/>
  <c r="E10"/>
  <c r="D10"/>
  <c r="F10" s="1"/>
  <c r="G10" s="1"/>
  <c r="E9"/>
  <c r="D9"/>
  <c r="F9" s="1"/>
  <c r="G9" s="1"/>
  <c r="E8"/>
  <c r="D8"/>
  <c r="F8" s="1"/>
  <c r="G8" s="1"/>
  <c r="E7"/>
  <c r="D7"/>
  <c r="F7" s="1"/>
  <c r="G7" s="1"/>
  <c r="E6"/>
  <c r="D6"/>
  <c r="F6" s="1"/>
  <c r="G6" s="1"/>
  <c r="E5"/>
  <c r="D5"/>
  <c r="F5" s="1"/>
  <c r="G5" s="1"/>
  <c r="E4"/>
  <c r="D4"/>
  <c r="F4" s="1"/>
  <c r="G4" s="1"/>
  <c r="E3"/>
  <c r="D3"/>
  <c r="F3" s="1"/>
  <c r="G3" s="1"/>
  <c r="E2"/>
  <c r="D2"/>
  <c r="F2" s="1"/>
  <c r="G2" s="1"/>
</calcChain>
</file>

<file path=xl/comments1.xml><?xml version="1.0" encoding="utf-8"?>
<comments xmlns="http://schemas.openxmlformats.org/spreadsheetml/2006/main">
  <authors>
    <author>keysight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
</t>
        </r>
      </text>
    </comment>
    <comment ref="G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Separate Command for each port</t>
        </r>
      </text>
    </comment>
    <comment ref="I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</t>
        </r>
      </text>
    </comment>
    <comment ref="K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 for 4 com chaanels 0-&gt;30khz,1-&gt;10KHz</t>
        </r>
      </text>
    </comment>
    <comment ref="L1" authorId="0">
      <text>
        <r>
          <rPr>
            <b/>
            <sz val="9"/>
            <color indexed="81"/>
            <rFont val="Tahoma"/>
            <charset val="1"/>
          </rPr>
          <t>keysight: Single Command for for all com channels</t>
        </r>
        <r>
          <rPr>
            <sz val="9"/>
            <color indexed="81"/>
            <rFont val="Tahoma"/>
            <charset val="1"/>
          </rPr>
          <t xml:space="preserve">
Bit[3 to 0]= Gain control value for 30KHz band or 10KHz CENTER 
Bit[7 to 4]= Gain control value for 10KHz band1 
Bit[11 to 8]= Gain control value for 10KHz band2 
Bit[15 to 12]= Gain control value for 10KHz band3 
</t>
        </r>
      </text>
    </comment>
    <comment ref="M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 for 4 com channels</t>
        </r>
      </text>
    </comment>
    <comment ref="W1" authorId="0">
      <text>
        <r>
          <rPr>
            <b/>
            <sz val="9"/>
            <color indexed="81"/>
            <rFont val="Tahoma"/>
            <charset val="1"/>
          </rPr>
          <t>keysight: Single Command for for all com channels</t>
        </r>
        <r>
          <rPr>
            <sz val="9"/>
            <color indexed="81"/>
            <rFont val="Tahoma"/>
            <charset val="1"/>
          </rPr>
          <t xml:space="preserve">
Bit[3 to 0]= Gain control value for 30KHz band or 10KHz CENTER 
Bit[7 to 4]= Gain control value for 10KHz band1 
Bit[11 to 8]= Gain control value for 10KHz band2 
Bit[15 to 12]= Gain control value for 10KHz band3 
</t>
        </r>
      </text>
    </comment>
  </commentList>
</comments>
</file>

<file path=xl/comments2.xml><?xml version="1.0" encoding="utf-8"?>
<comments xmlns="http://schemas.openxmlformats.org/spreadsheetml/2006/main">
  <authors>
    <author>keysight</author>
  </authors>
  <commentList>
    <comment ref="C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
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Separate Command for each port</t>
        </r>
      </text>
    </comment>
    <comment ref="G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</t>
        </r>
      </text>
    </comment>
    <comment ref="I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 for 4 com chaanels 0-&gt;30khz,1-&gt;10KHz</t>
        </r>
      </text>
    </comment>
    <comment ref="J1" authorId="0">
      <text>
        <r>
          <rPr>
            <b/>
            <sz val="9"/>
            <color indexed="81"/>
            <rFont val="Tahoma"/>
            <charset val="1"/>
          </rPr>
          <t>keysight: Single Command for for all com channels</t>
        </r>
        <r>
          <rPr>
            <sz val="9"/>
            <color indexed="81"/>
            <rFont val="Tahoma"/>
            <charset val="1"/>
          </rPr>
          <t xml:space="preserve">
Bit[3 to 0]= Gain control value for 30KHz band or 10KHz CENTER 
Bit[7 to 4]= Gain control value for 10KHz band1 
Bit[11 to 8]= Gain control value for 10KHz band2 
Bit[15 to 12]= Gain control value for 10KHz band3 
</t>
        </r>
      </text>
    </comment>
    <comment ref="K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 for 4 com channels</t>
        </r>
      </text>
    </comment>
  </commentList>
</comments>
</file>

<file path=xl/sharedStrings.xml><?xml version="1.0" encoding="utf-8"?>
<sst xmlns="http://schemas.openxmlformats.org/spreadsheetml/2006/main" count="1456" uniqueCount="131">
  <si>
    <t>no of 8 Bit words</t>
  </si>
  <si>
    <t>RT_ADDRESS</t>
  </si>
  <si>
    <t>SUB_ADDRESS</t>
  </si>
  <si>
    <t>ADDRESS</t>
  </si>
  <si>
    <t>001</t>
  </si>
  <si>
    <t>010</t>
  </si>
  <si>
    <t>011</t>
  </si>
  <si>
    <t>100</t>
  </si>
  <si>
    <t>101</t>
  </si>
  <si>
    <t>110</t>
  </si>
  <si>
    <t>FREQUENCY</t>
  </si>
  <si>
    <t>CODE</t>
  </si>
  <si>
    <t>f1</t>
  </si>
  <si>
    <t>f2</t>
  </si>
  <si>
    <t>f3</t>
  </si>
  <si>
    <t>f4</t>
  </si>
  <si>
    <t>f5</t>
  </si>
  <si>
    <t>f6</t>
  </si>
  <si>
    <t>CONFIG</t>
  </si>
  <si>
    <t>CHANNELIZER_IP_FREQUENCIES</t>
  </si>
  <si>
    <t>m1_1</t>
  </si>
  <si>
    <t>m1_2</t>
  </si>
  <si>
    <t>m1_3</t>
  </si>
  <si>
    <t>m1_4</t>
  </si>
  <si>
    <t>m2_1</t>
  </si>
  <si>
    <t>m2_2</t>
  </si>
  <si>
    <t>m1_5</t>
  </si>
  <si>
    <t>m1_6</t>
  </si>
  <si>
    <t>m1_7</t>
  </si>
  <si>
    <t>m1_8</t>
  </si>
  <si>
    <t>m2_3</t>
  </si>
  <si>
    <t>m2_4</t>
  </si>
  <si>
    <t>m2_5</t>
  </si>
  <si>
    <t>m2_6</t>
  </si>
  <si>
    <t>m2_7</t>
  </si>
  <si>
    <t>m2_8</t>
  </si>
  <si>
    <t>1010</t>
  </si>
  <si>
    <t>SNO</t>
  </si>
  <si>
    <t>r1_1</t>
  </si>
  <si>
    <t>r1_2</t>
  </si>
  <si>
    <t>r2_1</t>
  </si>
  <si>
    <t>r2_2</t>
  </si>
  <si>
    <t>2,2,2,2</t>
  </si>
  <si>
    <t>2,2,2,3</t>
  </si>
  <si>
    <t>2,2,2,4</t>
  </si>
  <si>
    <t>2,2,2,5</t>
  </si>
  <si>
    <t>EPC_SELECT_CHANNELIZER</t>
  </si>
  <si>
    <t>EPC_SELECT_CHANNELIZER_BIT</t>
  </si>
  <si>
    <t>EPC_SELECT_SYNTHESIZER</t>
  </si>
  <si>
    <t>EPC_SELECT_SYNTHESIZER_BIT</t>
  </si>
  <si>
    <t>FL_S_M1</t>
  </si>
  <si>
    <t>FL_S_M2</t>
  </si>
  <si>
    <t>FL_S_R</t>
  </si>
  <si>
    <t>RL_S_M</t>
  </si>
  <si>
    <t>RL_S_R</t>
  </si>
  <si>
    <t>FL_C_R</t>
  </si>
  <si>
    <t>RL_C_M1</t>
  </si>
  <si>
    <t>RL_C_M2</t>
  </si>
  <si>
    <t>RL_C_R1</t>
  </si>
  <si>
    <t>RL_C_R2</t>
  </si>
  <si>
    <t>FL_C_M</t>
  </si>
  <si>
    <t>FL_SYNTHESIZER_AND_OP_PORT</t>
  </si>
  <si>
    <t xml:space="preserve">B2_FL_S_M1__OP_P2_253.5MHZ </t>
  </si>
  <si>
    <t xml:space="preserve">B3_FL_S_M2__OP_P1_258.5MHZ </t>
  </si>
  <si>
    <t xml:space="preserve">B4_FL_S_M2__OP_P2_243.5MHZ </t>
  </si>
  <si>
    <t xml:space="preserve">B1_FL_S_M1__OP_P1_248.4MHZ </t>
  </si>
  <si>
    <t>FL_SYNTHESIZER_NCO_PHASE</t>
  </si>
  <si>
    <t>1,1,255</t>
  </si>
  <si>
    <t>1,1,256</t>
  </si>
  <si>
    <t>1,1,257</t>
  </si>
  <si>
    <t>MESH_LINK</t>
  </si>
  <si>
    <t>E,C1,P13</t>
  </si>
  <si>
    <t>D,C1,P13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</si>
  <si>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</si>
  <si>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</si>
  <si>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</si>
  <si>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</si>
  <si>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</si>
  <si>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</si>
  <si>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</si>
  <si>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</si>
  <si>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</si>
  <si>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</si>
  <si>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</si>
  <si>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Set</t>
  </si>
  <si>
    <t>0101</t>
  </si>
  <si>
    <t>2,2,2,2,2</t>
  </si>
  <si>
    <t>302.5</t>
  </si>
  <si>
    <t>312.5</t>
  </si>
  <si>
    <t>317.5</t>
  </si>
  <si>
    <t>r1_5</t>
  </si>
  <si>
    <t>r1_3</t>
  </si>
  <si>
    <t>r1_4</t>
  </si>
  <si>
    <t>r1_6</t>
  </si>
  <si>
    <t>r1_7</t>
  </si>
  <si>
    <t>r1_8</t>
  </si>
  <si>
    <t>1100</t>
  </si>
  <si>
    <t>297.5</t>
  </si>
  <si>
    <t>0001</t>
  </si>
  <si>
    <t>1011</t>
  </si>
  <si>
    <t>292.5</t>
  </si>
  <si>
    <t>0100</t>
  </si>
  <si>
    <t>0110</t>
  </si>
  <si>
    <t>r2_5</t>
  </si>
  <si>
    <t>r2_6</t>
  </si>
  <si>
    <t>r2_7</t>
  </si>
  <si>
    <t>r2_8</t>
  </si>
  <si>
    <t>r2_3</t>
  </si>
  <si>
    <t>r2_4</t>
  </si>
  <si>
    <t>LINK</t>
  </si>
  <si>
    <t>RETURN</t>
  </si>
  <si>
    <t>FORWARD</t>
  </si>
  <si>
    <t xml:space="preserve">B2_FL_S_M1_OP_P2_253.5MHZ </t>
  </si>
  <si>
    <t xml:space="preserve">B3_FL_S_M2_OP_P2_258.5MHZ </t>
  </si>
  <si>
    <t xml:space="preserve">B4_FL_S_M1_OP_P1_243.5MHZ </t>
  </si>
  <si>
    <t xml:space="preserve">B4_FL_S_R_OP_P1_243.5MHZ </t>
  </si>
  <si>
    <t xml:space="preserve">B2_FL_S_R_OP_P2_253.5MHZ </t>
  </si>
  <si>
    <t xml:space="preserve">B1_FL_S_M2_OP_P1_248.5MHZ </t>
  </si>
  <si>
    <t>2,4,255</t>
  </si>
  <si>
    <t>1,3,255</t>
  </si>
  <si>
    <t>FL_GAIN_CONTROL_DB</t>
  </si>
  <si>
    <t>5,5,5,5</t>
  </si>
  <si>
    <t>FL_POWER_LIMIT</t>
  </si>
  <si>
    <t xml:space="preserve">B1_FL_S_R_OP_P1_248.5MHZ </t>
  </si>
  <si>
    <t xml:space="preserve">B3_FL_S_R_OP_P2_258.5MHZ </t>
  </si>
  <si>
    <t>D,C1,P15</t>
  </si>
  <si>
    <t>MESH</t>
  </si>
  <si>
    <t>5,5,5,5,5</t>
  </si>
  <si>
    <t>1,1,194</t>
  </si>
  <si>
    <t>E,C2,P14</t>
  </si>
  <si>
    <t>E,C2,P17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</si>
</sst>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/>
    </xf>
    <xf numFmtId="49" fontId="0" fillId="0" borderId="0" xfId="0" applyNumberForma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7" sqref="B7:B10"/>
    </sheetView>
  </sheetViews>
  <sheetFormatPr defaultRowHeight="15"/>
  <cols>
    <col min="1" max="1" width="10.7109375" bestFit="1" customWidth="1"/>
    <col min="2" max="2" width="15.5703125" customWidth="1"/>
    <col min="3" max="3" width="15.85546875" bestFit="1" customWidth="1"/>
    <col min="4" max="5" width="6" bestFit="1" customWidth="1"/>
    <col min="6" max="6" width="11" bestFit="1" customWidth="1"/>
    <col min="7" max="7" width="12" customWidth="1"/>
  </cols>
  <sheetData>
    <row r="1" spans="1:7">
      <c r="A1" t="s">
        <v>1</v>
      </c>
      <c r="B1" t="s">
        <v>2</v>
      </c>
      <c r="C1" t="s">
        <v>0</v>
      </c>
      <c r="G1" t="s">
        <v>3</v>
      </c>
    </row>
    <row r="2" spans="1:7">
      <c r="A2">
        <v>3</v>
      </c>
      <c r="B2">
        <v>1</v>
      </c>
      <c r="C2">
        <v>2</v>
      </c>
      <c r="D2" t="str">
        <f>DEC2BIN(A2,5)</f>
        <v>00011</v>
      </c>
      <c r="E2" t="str">
        <f>DEC2BIN(B2,5)</f>
        <v>00001</v>
      </c>
      <c r="F2" t="str">
        <f>CONCATENATE(D2,E2)</f>
        <v>0001100001</v>
      </c>
      <c r="G2" t="str">
        <f>BIN2HEX(F2,4)</f>
        <v>0061</v>
      </c>
    </row>
    <row r="3" spans="1:7">
      <c r="A3">
        <v>3</v>
      </c>
      <c r="B3">
        <v>2</v>
      </c>
      <c r="C3">
        <v>2</v>
      </c>
      <c r="D3" t="str">
        <f t="shared" ref="D3:E20" si="0">DEC2BIN(A3,5)</f>
        <v>00011</v>
      </c>
      <c r="E3" t="str">
        <f t="shared" si="0"/>
        <v>00010</v>
      </c>
      <c r="F3" t="str">
        <f t="shared" ref="F3:F20" si="1">CONCATENATE(D3,E3)</f>
        <v>0001100010</v>
      </c>
      <c r="G3" t="str">
        <f t="shared" ref="G3:G20" si="2">BIN2HEX(F3,4)</f>
        <v>0062</v>
      </c>
    </row>
    <row r="4" spans="1:7">
      <c r="A4">
        <v>3</v>
      </c>
      <c r="B4">
        <v>3</v>
      </c>
      <c r="C4">
        <v>2</v>
      </c>
      <c r="D4" t="str">
        <f t="shared" si="0"/>
        <v>00011</v>
      </c>
      <c r="E4" t="str">
        <f t="shared" si="0"/>
        <v>00011</v>
      </c>
      <c r="F4" t="str">
        <f t="shared" si="1"/>
        <v>0001100011</v>
      </c>
      <c r="G4" t="str">
        <f t="shared" si="2"/>
        <v>0063</v>
      </c>
    </row>
    <row r="5" spans="1:7">
      <c r="A5">
        <v>3</v>
      </c>
      <c r="B5">
        <v>4</v>
      </c>
      <c r="C5">
        <v>6</v>
      </c>
      <c r="D5" t="str">
        <f t="shared" si="0"/>
        <v>00011</v>
      </c>
      <c r="E5" t="str">
        <f t="shared" si="0"/>
        <v>00100</v>
      </c>
      <c r="F5" t="str">
        <f t="shared" si="1"/>
        <v>0001100100</v>
      </c>
      <c r="G5" t="str">
        <f t="shared" si="2"/>
        <v>0064</v>
      </c>
    </row>
    <row r="6" spans="1:7">
      <c r="A6">
        <v>3</v>
      </c>
      <c r="B6">
        <v>5</v>
      </c>
      <c r="C6">
        <v>4</v>
      </c>
      <c r="D6" t="str">
        <f t="shared" si="0"/>
        <v>00011</v>
      </c>
      <c r="E6" t="str">
        <f t="shared" si="0"/>
        <v>00101</v>
      </c>
      <c r="F6" t="str">
        <f t="shared" si="1"/>
        <v>0001100101</v>
      </c>
      <c r="G6" t="str">
        <f t="shared" si="2"/>
        <v>0065</v>
      </c>
    </row>
    <row r="7" spans="1:7">
      <c r="A7">
        <v>3</v>
      </c>
      <c r="B7">
        <v>6</v>
      </c>
      <c r="C7">
        <v>2</v>
      </c>
      <c r="D7" t="str">
        <f t="shared" si="0"/>
        <v>00011</v>
      </c>
      <c r="E7" t="str">
        <f t="shared" si="0"/>
        <v>00110</v>
      </c>
      <c r="F7" t="str">
        <f t="shared" si="1"/>
        <v>0001100110</v>
      </c>
      <c r="G7" t="str">
        <f t="shared" si="2"/>
        <v>0066</v>
      </c>
    </row>
    <row r="8" spans="1:7">
      <c r="A8">
        <v>3</v>
      </c>
      <c r="B8">
        <v>7</v>
      </c>
      <c r="C8">
        <v>2</v>
      </c>
      <c r="D8" t="str">
        <f t="shared" si="0"/>
        <v>00011</v>
      </c>
      <c r="E8" t="str">
        <f t="shared" si="0"/>
        <v>00111</v>
      </c>
      <c r="F8" t="str">
        <f t="shared" si="1"/>
        <v>0001100111</v>
      </c>
      <c r="G8" t="str">
        <f t="shared" si="2"/>
        <v>0067</v>
      </c>
    </row>
    <row r="9" spans="1:7">
      <c r="A9">
        <v>3</v>
      </c>
      <c r="B9">
        <v>8</v>
      </c>
      <c r="C9">
        <v>2</v>
      </c>
      <c r="D9" t="str">
        <f t="shared" si="0"/>
        <v>00011</v>
      </c>
      <c r="E9" t="str">
        <f t="shared" si="0"/>
        <v>01000</v>
      </c>
      <c r="F9" t="str">
        <f t="shared" si="1"/>
        <v>0001101000</v>
      </c>
      <c r="G9" t="str">
        <f t="shared" si="2"/>
        <v>0068</v>
      </c>
    </row>
    <row r="10" spans="1:7">
      <c r="A10">
        <v>3</v>
      </c>
      <c r="B10">
        <v>9</v>
      </c>
      <c r="C10">
        <v>2</v>
      </c>
      <c r="D10" t="str">
        <f t="shared" si="0"/>
        <v>00011</v>
      </c>
      <c r="E10" t="str">
        <f t="shared" si="0"/>
        <v>01001</v>
      </c>
      <c r="F10" t="str">
        <f t="shared" si="1"/>
        <v>0001101001</v>
      </c>
      <c r="G10" t="str">
        <f t="shared" si="2"/>
        <v>0069</v>
      </c>
    </row>
    <row r="11" spans="1:7">
      <c r="A11">
        <v>3</v>
      </c>
      <c r="B11">
        <v>10</v>
      </c>
      <c r="C11">
        <v>24</v>
      </c>
      <c r="D11" t="str">
        <f t="shared" si="0"/>
        <v>00011</v>
      </c>
      <c r="E11" t="str">
        <f t="shared" si="0"/>
        <v>01010</v>
      </c>
      <c r="F11" t="str">
        <f t="shared" si="1"/>
        <v>0001101010</v>
      </c>
      <c r="G11" t="str">
        <f t="shared" si="2"/>
        <v>006A</v>
      </c>
    </row>
    <row r="12" spans="1:7">
      <c r="A12">
        <v>3</v>
      </c>
      <c r="B12">
        <v>11</v>
      </c>
      <c r="C12">
        <v>4</v>
      </c>
      <c r="D12" t="str">
        <f t="shared" si="0"/>
        <v>00011</v>
      </c>
      <c r="E12" t="str">
        <f t="shared" si="0"/>
        <v>01011</v>
      </c>
      <c r="F12" t="str">
        <f t="shared" si="1"/>
        <v>0001101011</v>
      </c>
      <c r="G12" t="str">
        <f t="shared" si="2"/>
        <v>006B</v>
      </c>
    </row>
    <row r="13" spans="1:7">
      <c r="A13">
        <v>3</v>
      </c>
      <c r="B13">
        <v>12</v>
      </c>
      <c r="C13">
        <v>16</v>
      </c>
      <c r="D13" t="str">
        <f t="shared" si="0"/>
        <v>00011</v>
      </c>
      <c r="E13" t="str">
        <f t="shared" si="0"/>
        <v>01100</v>
      </c>
      <c r="F13" t="str">
        <f t="shared" si="1"/>
        <v>0001101100</v>
      </c>
      <c r="G13" t="str">
        <f t="shared" si="2"/>
        <v>006C</v>
      </c>
    </row>
    <row r="14" spans="1:7">
      <c r="A14">
        <v>3</v>
      </c>
      <c r="B14">
        <v>13</v>
      </c>
      <c r="C14">
        <v>8</v>
      </c>
      <c r="D14" t="str">
        <f t="shared" si="0"/>
        <v>00011</v>
      </c>
      <c r="E14" t="str">
        <f t="shared" si="0"/>
        <v>01101</v>
      </c>
      <c r="F14" t="str">
        <f t="shared" si="1"/>
        <v>0001101101</v>
      </c>
      <c r="G14" t="str">
        <f t="shared" si="2"/>
        <v>006D</v>
      </c>
    </row>
    <row r="15" spans="1:7">
      <c r="A15">
        <v>3</v>
      </c>
      <c r="B15">
        <v>14</v>
      </c>
      <c r="C15">
        <v>2</v>
      </c>
      <c r="D15" t="str">
        <f t="shared" si="0"/>
        <v>00011</v>
      </c>
      <c r="E15" t="str">
        <f t="shared" si="0"/>
        <v>01110</v>
      </c>
      <c r="F15" t="str">
        <f t="shared" si="1"/>
        <v>0001101110</v>
      </c>
      <c r="G15" t="str">
        <f t="shared" si="2"/>
        <v>006E</v>
      </c>
    </row>
    <row r="16" spans="1:7">
      <c r="A16">
        <v>3</v>
      </c>
      <c r="B16">
        <v>15</v>
      </c>
      <c r="C16">
        <v>2</v>
      </c>
      <c r="D16" t="str">
        <f t="shared" si="0"/>
        <v>00011</v>
      </c>
      <c r="E16" t="str">
        <f t="shared" si="0"/>
        <v>01111</v>
      </c>
      <c r="F16" t="str">
        <f t="shared" si="1"/>
        <v>0001101111</v>
      </c>
      <c r="G16" t="str">
        <f t="shared" si="2"/>
        <v>006F</v>
      </c>
    </row>
    <row r="17" spans="1:7">
      <c r="A17">
        <v>3</v>
      </c>
      <c r="B17">
        <v>16</v>
      </c>
      <c r="C17">
        <v>4</v>
      </c>
      <c r="D17" t="str">
        <f t="shared" si="0"/>
        <v>00011</v>
      </c>
      <c r="E17" t="str">
        <f t="shared" si="0"/>
        <v>10000</v>
      </c>
      <c r="F17" t="str">
        <f t="shared" si="1"/>
        <v>0001110000</v>
      </c>
      <c r="G17" t="str">
        <f t="shared" si="2"/>
        <v>0070</v>
      </c>
    </row>
    <row r="18" spans="1:7">
      <c r="A18">
        <v>3</v>
      </c>
      <c r="B18">
        <v>17</v>
      </c>
      <c r="C18">
        <v>2</v>
      </c>
      <c r="D18" t="str">
        <f t="shared" si="0"/>
        <v>00011</v>
      </c>
      <c r="E18" t="str">
        <f t="shared" si="0"/>
        <v>10001</v>
      </c>
      <c r="F18" t="str">
        <f t="shared" si="1"/>
        <v>0001110001</v>
      </c>
      <c r="G18" t="str">
        <f t="shared" si="2"/>
        <v>0071</v>
      </c>
    </row>
    <row r="19" spans="1:7">
      <c r="A19">
        <v>3</v>
      </c>
      <c r="B19">
        <v>18</v>
      </c>
      <c r="C19">
        <v>2</v>
      </c>
      <c r="D19" t="str">
        <f t="shared" si="0"/>
        <v>00011</v>
      </c>
      <c r="E19" t="str">
        <f t="shared" si="0"/>
        <v>10010</v>
      </c>
      <c r="F19" t="str">
        <f t="shared" si="1"/>
        <v>0001110010</v>
      </c>
      <c r="G19" t="str">
        <f t="shared" si="2"/>
        <v>0072</v>
      </c>
    </row>
    <row r="20" spans="1:7">
      <c r="A20">
        <v>3</v>
      </c>
      <c r="B20">
        <v>19</v>
      </c>
      <c r="C20">
        <v>2</v>
      </c>
      <c r="D20" t="str">
        <f t="shared" si="0"/>
        <v>00011</v>
      </c>
      <c r="E20" t="str">
        <f t="shared" si="0"/>
        <v>10011</v>
      </c>
      <c r="F20" t="str">
        <f t="shared" si="1"/>
        <v>0001110011</v>
      </c>
      <c r="G20" t="str">
        <f t="shared" si="2"/>
        <v>0073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B2" sqref="B2:B7"/>
    </sheetView>
  </sheetViews>
  <sheetFormatPr defaultRowHeight="15"/>
  <cols>
    <col min="1" max="1" width="42" customWidth="1"/>
    <col min="2" max="2" width="13.140625" customWidth="1"/>
    <col min="3" max="3" width="21" customWidth="1"/>
  </cols>
  <sheetData>
    <row r="1" spans="1:3">
      <c r="A1" t="s">
        <v>19</v>
      </c>
      <c r="B1" t="s">
        <v>10</v>
      </c>
      <c r="C1" t="s">
        <v>11</v>
      </c>
    </row>
    <row r="2" spans="1:3">
      <c r="A2" t="s">
        <v>12</v>
      </c>
      <c r="B2">
        <v>292.5</v>
      </c>
      <c r="C2" s="1" t="s">
        <v>4</v>
      </c>
    </row>
    <row r="3" spans="1:3">
      <c r="A3" t="s">
        <v>13</v>
      </c>
      <c r="B3">
        <v>297.5</v>
      </c>
      <c r="C3" s="1" t="s">
        <v>5</v>
      </c>
    </row>
    <row r="4" spans="1:3">
      <c r="A4" t="s">
        <v>14</v>
      </c>
      <c r="B4">
        <v>302.5</v>
      </c>
      <c r="C4" s="1" t="s">
        <v>6</v>
      </c>
    </row>
    <row r="5" spans="1:3">
      <c r="A5" t="s">
        <v>15</v>
      </c>
      <c r="B5">
        <v>307.5</v>
      </c>
      <c r="C5" s="1" t="s">
        <v>7</v>
      </c>
    </row>
    <row r="6" spans="1:3">
      <c r="A6" t="s">
        <v>16</v>
      </c>
      <c r="B6">
        <v>312.5</v>
      </c>
      <c r="C6" s="1" t="s">
        <v>8</v>
      </c>
    </row>
    <row r="7" spans="1:3">
      <c r="A7" t="s">
        <v>17</v>
      </c>
      <c r="B7">
        <v>317.5</v>
      </c>
      <c r="C7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12"/>
  <sheetViews>
    <sheetView tabSelected="1" workbookViewId="0">
      <pane xSplit="2" ySplit="1" topLeftCell="N146" activePane="bottomRight" state="frozen"/>
      <selection pane="topRight" activeCell="C1" sqref="C1"/>
      <selection pane="bottomLeft" activeCell="A2" sqref="A2"/>
      <selection pane="bottomRight" activeCell="U184" sqref="U184"/>
    </sheetView>
  </sheetViews>
  <sheetFormatPr defaultRowHeight="15"/>
  <cols>
    <col min="1" max="1" width="4.85546875" bestFit="1" customWidth="1"/>
    <col min="2" max="2" width="4.85546875" customWidth="1"/>
    <col min="3" max="3" width="12" customWidth="1"/>
    <col min="5" max="5" width="23" bestFit="1" customWidth="1"/>
    <col min="6" max="6" width="29.42578125" bestFit="1" customWidth="1"/>
    <col min="7" max="7" width="31.5703125" customWidth="1"/>
    <col min="8" max="8" width="37.85546875" customWidth="1"/>
    <col min="9" max="9" width="29.28515625" customWidth="1"/>
    <col min="10" max="10" width="24.42578125" bestFit="1" customWidth="1"/>
    <col min="11" max="11" width="25" customWidth="1"/>
    <col min="12" max="12" width="20.7109375" customWidth="1"/>
    <col min="13" max="13" width="30.7109375" customWidth="1"/>
    <col min="14" max="14" width="19" customWidth="1"/>
    <col min="15" max="15" width="26.42578125" customWidth="1"/>
    <col min="16" max="16" width="38.28515625" style="4" customWidth="1"/>
    <col min="17" max="17" width="31" style="4" customWidth="1"/>
    <col min="18" max="18" width="24.85546875" bestFit="1" customWidth="1"/>
    <col min="19" max="19" width="45.140625" customWidth="1"/>
    <col min="20" max="20" width="40" customWidth="1"/>
    <col min="21" max="21" width="40.28515625" customWidth="1"/>
    <col min="22" max="22" width="20.28515625" customWidth="1"/>
    <col min="23" max="23" width="21.140625" customWidth="1"/>
    <col min="24" max="24" width="18" customWidth="1"/>
  </cols>
  <sheetData>
    <row r="1" spans="1:24">
      <c r="A1" t="s">
        <v>37</v>
      </c>
      <c r="B1" t="s">
        <v>84</v>
      </c>
      <c r="C1" t="s">
        <v>109</v>
      </c>
      <c r="D1" t="s">
        <v>18</v>
      </c>
      <c r="E1" s="5" t="s">
        <v>73</v>
      </c>
      <c r="F1" s="5" t="s">
        <v>74</v>
      </c>
      <c r="G1" s="7" t="s">
        <v>75</v>
      </c>
      <c r="H1" s="7" t="s">
        <v>76</v>
      </c>
      <c r="I1" s="8" t="s">
        <v>77</v>
      </c>
      <c r="J1" s="8" t="s">
        <v>78</v>
      </c>
      <c r="K1" s="9" t="s">
        <v>79</v>
      </c>
      <c r="L1" s="6" t="s">
        <v>80</v>
      </c>
      <c r="M1" s="10" t="s">
        <v>81</v>
      </c>
      <c r="N1" t="s">
        <v>82</v>
      </c>
      <c r="O1" t="s">
        <v>83</v>
      </c>
      <c r="P1" s="11" t="s">
        <v>46</v>
      </c>
      <c r="Q1" s="11" t="s">
        <v>47</v>
      </c>
      <c r="R1" s="13" t="s">
        <v>48</v>
      </c>
      <c r="S1" s="13" t="s">
        <v>49</v>
      </c>
      <c r="T1" s="12" t="s">
        <v>61</v>
      </c>
      <c r="U1" s="14" t="s">
        <v>66</v>
      </c>
      <c r="V1" s="11" t="s">
        <v>70</v>
      </c>
      <c r="W1" s="6" t="s">
        <v>120</v>
      </c>
      <c r="X1" t="s">
        <v>122</v>
      </c>
    </row>
    <row r="2" spans="1:24" ht="20.25" customHeight="1">
      <c r="A2">
        <v>1</v>
      </c>
      <c r="B2">
        <v>1</v>
      </c>
      <c r="C2" t="s">
        <v>110</v>
      </c>
      <c r="D2">
        <v>1</v>
      </c>
      <c r="E2" s="2" t="s">
        <v>20</v>
      </c>
      <c r="F2" s="15">
        <v>292.5</v>
      </c>
      <c r="G2" t="s">
        <v>20</v>
      </c>
      <c r="H2">
        <v>36</v>
      </c>
      <c r="I2" t="s">
        <v>20</v>
      </c>
      <c r="J2" t="s">
        <v>22</v>
      </c>
      <c r="K2" s="3" t="s">
        <v>85</v>
      </c>
      <c r="L2" t="s">
        <v>86</v>
      </c>
      <c r="M2">
        <v>36</v>
      </c>
      <c r="N2">
        <v>15</v>
      </c>
      <c r="P2" s="4" t="s">
        <v>60</v>
      </c>
      <c r="Q2" s="4">
        <v>1</v>
      </c>
      <c r="R2" t="s">
        <v>50</v>
      </c>
      <c r="S2">
        <v>1</v>
      </c>
      <c r="V2" t="s">
        <v>72</v>
      </c>
    </row>
    <row r="3" spans="1:24">
      <c r="A3">
        <v>2</v>
      </c>
      <c r="B3">
        <v>1</v>
      </c>
      <c r="C3" t="s">
        <v>110</v>
      </c>
      <c r="D3">
        <v>1</v>
      </c>
      <c r="E3" s="2" t="s">
        <v>21</v>
      </c>
      <c r="F3" s="15">
        <v>297.5</v>
      </c>
      <c r="G3" t="s">
        <v>21</v>
      </c>
      <c r="H3">
        <v>198</v>
      </c>
      <c r="I3" t="s">
        <v>21</v>
      </c>
      <c r="J3" t="s">
        <v>23</v>
      </c>
      <c r="L3" t="s">
        <v>86</v>
      </c>
      <c r="M3">
        <v>198</v>
      </c>
      <c r="P3" s="4" t="s">
        <v>55</v>
      </c>
      <c r="Q3" s="4">
        <v>0</v>
      </c>
      <c r="R3" t="s">
        <v>51</v>
      </c>
      <c r="S3">
        <v>0</v>
      </c>
      <c r="V3" t="s">
        <v>72</v>
      </c>
    </row>
    <row r="4" spans="1:24">
      <c r="A4">
        <v>3</v>
      </c>
      <c r="B4">
        <v>1</v>
      </c>
      <c r="C4" t="s">
        <v>110</v>
      </c>
      <c r="D4">
        <v>1</v>
      </c>
      <c r="E4" s="2" t="s">
        <v>24</v>
      </c>
      <c r="F4" s="15">
        <v>302.5</v>
      </c>
      <c r="G4" t="s">
        <v>26</v>
      </c>
      <c r="H4">
        <v>182</v>
      </c>
      <c r="I4" t="s">
        <v>26</v>
      </c>
      <c r="J4" t="s">
        <v>27</v>
      </c>
      <c r="L4" t="s">
        <v>86</v>
      </c>
      <c r="M4">
        <v>675</v>
      </c>
      <c r="P4" s="4" t="s">
        <v>56</v>
      </c>
      <c r="Q4" s="4">
        <v>1</v>
      </c>
      <c r="R4" t="s">
        <v>52</v>
      </c>
      <c r="S4">
        <v>0</v>
      </c>
    </row>
    <row r="5" spans="1:24">
      <c r="A5">
        <v>4</v>
      </c>
      <c r="B5">
        <v>1</v>
      </c>
      <c r="C5" t="s">
        <v>110</v>
      </c>
      <c r="D5">
        <v>1</v>
      </c>
      <c r="E5" s="2" t="s">
        <v>25</v>
      </c>
      <c r="F5" s="15">
        <v>307.5</v>
      </c>
      <c r="G5" t="s">
        <v>32</v>
      </c>
      <c r="H5">
        <v>113</v>
      </c>
      <c r="I5" t="s">
        <v>32</v>
      </c>
      <c r="J5" t="s">
        <v>28</v>
      </c>
      <c r="L5" t="s">
        <v>86</v>
      </c>
      <c r="M5">
        <v>1592</v>
      </c>
      <c r="P5" s="4" t="s">
        <v>57</v>
      </c>
      <c r="Q5" s="4">
        <v>1</v>
      </c>
      <c r="R5" t="s">
        <v>53</v>
      </c>
      <c r="S5">
        <v>1</v>
      </c>
    </row>
    <row r="6" spans="1:24">
      <c r="A6">
        <v>5</v>
      </c>
      <c r="B6">
        <v>1</v>
      </c>
      <c r="C6" t="s">
        <v>110</v>
      </c>
      <c r="D6">
        <v>1</v>
      </c>
      <c r="E6" s="2" t="s">
        <v>38</v>
      </c>
      <c r="F6" s="15">
        <v>292.5</v>
      </c>
      <c r="G6" t="s">
        <v>22</v>
      </c>
      <c r="H6">
        <v>36</v>
      </c>
      <c r="J6" t="s">
        <v>29</v>
      </c>
      <c r="P6" s="4" t="s">
        <v>58</v>
      </c>
      <c r="Q6" s="4">
        <v>0</v>
      </c>
      <c r="R6" t="s">
        <v>54</v>
      </c>
      <c r="S6">
        <v>0</v>
      </c>
    </row>
    <row r="7" spans="1:24">
      <c r="A7">
        <v>6</v>
      </c>
      <c r="B7">
        <v>1</v>
      </c>
      <c r="C7" t="s">
        <v>110</v>
      </c>
      <c r="D7">
        <v>1</v>
      </c>
      <c r="E7" s="2" t="s">
        <v>39</v>
      </c>
      <c r="F7" s="15">
        <v>297.5</v>
      </c>
      <c r="G7" t="s">
        <v>23</v>
      </c>
      <c r="H7">
        <v>36</v>
      </c>
      <c r="J7" t="s">
        <v>24</v>
      </c>
      <c r="P7" s="4" t="s">
        <v>59</v>
      </c>
      <c r="Q7" s="4">
        <v>0</v>
      </c>
    </row>
    <row r="8" spans="1:24">
      <c r="A8">
        <v>7</v>
      </c>
      <c r="B8">
        <v>1</v>
      </c>
      <c r="C8" t="s">
        <v>110</v>
      </c>
      <c r="D8">
        <v>1</v>
      </c>
      <c r="E8" s="2" t="s">
        <v>40</v>
      </c>
      <c r="F8" s="15">
        <v>302.5</v>
      </c>
      <c r="G8" t="s">
        <v>27</v>
      </c>
      <c r="H8">
        <v>36</v>
      </c>
      <c r="J8" t="s">
        <v>25</v>
      </c>
    </row>
    <row r="9" spans="1:24">
      <c r="A9">
        <v>8</v>
      </c>
      <c r="B9">
        <v>1</v>
      </c>
      <c r="C9" t="s">
        <v>110</v>
      </c>
      <c r="D9">
        <v>1</v>
      </c>
      <c r="E9" s="2" t="s">
        <v>41</v>
      </c>
      <c r="F9" s="15">
        <v>307.5</v>
      </c>
      <c r="G9" t="s">
        <v>28</v>
      </c>
      <c r="H9">
        <v>36</v>
      </c>
      <c r="J9" t="s">
        <v>30</v>
      </c>
    </row>
    <row r="10" spans="1:24">
      <c r="A10">
        <v>9</v>
      </c>
      <c r="B10">
        <v>1</v>
      </c>
      <c r="C10" t="s">
        <v>110</v>
      </c>
      <c r="D10">
        <v>1</v>
      </c>
      <c r="G10" t="s">
        <v>29</v>
      </c>
      <c r="H10">
        <v>36</v>
      </c>
    </row>
    <row r="11" spans="1:24">
      <c r="A11">
        <v>10</v>
      </c>
      <c r="B11">
        <v>1</v>
      </c>
      <c r="C11" t="s">
        <v>110</v>
      </c>
      <c r="D11">
        <v>1</v>
      </c>
      <c r="G11" t="s">
        <v>24</v>
      </c>
      <c r="H11">
        <v>36</v>
      </c>
    </row>
    <row r="12" spans="1:24">
      <c r="A12">
        <v>11</v>
      </c>
      <c r="B12">
        <v>1</v>
      </c>
      <c r="C12" t="s">
        <v>110</v>
      </c>
      <c r="D12">
        <v>1</v>
      </c>
      <c r="G12" t="s">
        <v>25</v>
      </c>
      <c r="H12">
        <v>36</v>
      </c>
    </row>
    <row r="13" spans="1:24">
      <c r="A13">
        <v>12</v>
      </c>
      <c r="B13">
        <v>1</v>
      </c>
      <c r="C13" t="s">
        <v>110</v>
      </c>
      <c r="D13">
        <v>1</v>
      </c>
      <c r="G13" t="s">
        <v>30</v>
      </c>
      <c r="H13">
        <v>36</v>
      </c>
    </row>
    <row r="14" spans="1:24">
      <c r="A14">
        <v>13</v>
      </c>
      <c r="B14">
        <v>1</v>
      </c>
      <c r="C14" t="s">
        <v>110</v>
      </c>
      <c r="D14">
        <v>1</v>
      </c>
      <c r="G14" t="s">
        <v>31</v>
      </c>
      <c r="H14">
        <v>36</v>
      </c>
    </row>
    <row r="15" spans="1:24">
      <c r="A15">
        <v>14</v>
      </c>
      <c r="B15">
        <v>1</v>
      </c>
      <c r="C15" t="s">
        <v>110</v>
      </c>
      <c r="D15">
        <v>1</v>
      </c>
      <c r="G15" t="s">
        <v>33</v>
      </c>
      <c r="H15">
        <v>36</v>
      </c>
    </row>
    <row r="16" spans="1:24">
      <c r="A16">
        <v>15</v>
      </c>
      <c r="B16">
        <v>1</v>
      </c>
      <c r="C16" t="s">
        <v>110</v>
      </c>
      <c r="D16">
        <v>1</v>
      </c>
      <c r="G16" t="s">
        <v>34</v>
      </c>
      <c r="H16">
        <v>36</v>
      </c>
    </row>
    <row r="17" spans="1:22">
      <c r="A17">
        <v>16</v>
      </c>
      <c r="B17">
        <v>1</v>
      </c>
      <c r="C17" t="s">
        <v>110</v>
      </c>
      <c r="D17">
        <v>1</v>
      </c>
      <c r="G17" t="s">
        <v>35</v>
      </c>
      <c r="H17">
        <v>36</v>
      </c>
    </row>
    <row r="18" spans="1:22">
      <c r="A18">
        <v>17</v>
      </c>
      <c r="C18" t="s">
        <v>110</v>
      </c>
    </row>
    <row r="19" spans="1:22">
      <c r="A19">
        <v>18</v>
      </c>
      <c r="B19">
        <v>2</v>
      </c>
      <c r="C19" t="s">
        <v>110</v>
      </c>
      <c r="E19" s="2" t="s">
        <v>20</v>
      </c>
      <c r="F19" s="15">
        <v>292.5</v>
      </c>
      <c r="G19" t="s">
        <v>20</v>
      </c>
      <c r="H19">
        <v>321</v>
      </c>
      <c r="I19" t="s">
        <v>20</v>
      </c>
      <c r="J19" t="s">
        <v>22</v>
      </c>
      <c r="K19" s="3" t="s">
        <v>85</v>
      </c>
      <c r="L19" t="s">
        <v>86</v>
      </c>
      <c r="M19">
        <v>321</v>
      </c>
      <c r="N19">
        <v>15</v>
      </c>
      <c r="P19" s="4" t="s">
        <v>60</v>
      </c>
      <c r="Q19" s="4">
        <v>1</v>
      </c>
      <c r="R19" t="s">
        <v>50</v>
      </c>
      <c r="S19">
        <v>1</v>
      </c>
      <c r="V19" t="s">
        <v>72</v>
      </c>
    </row>
    <row r="20" spans="1:22">
      <c r="A20">
        <v>19</v>
      </c>
      <c r="B20">
        <v>2</v>
      </c>
      <c r="C20" t="s">
        <v>110</v>
      </c>
      <c r="E20" s="2" t="s">
        <v>21</v>
      </c>
      <c r="F20" s="15">
        <v>297.5</v>
      </c>
      <c r="G20" t="s">
        <v>21</v>
      </c>
      <c r="H20">
        <v>484</v>
      </c>
      <c r="I20" t="s">
        <v>21</v>
      </c>
      <c r="J20" t="s">
        <v>23</v>
      </c>
      <c r="L20" t="s">
        <v>86</v>
      </c>
      <c r="M20">
        <v>484</v>
      </c>
      <c r="P20" s="4" t="s">
        <v>55</v>
      </c>
      <c r="Q20" s="4">
        <v>0</v>
      </c>
      <c r="R20" t="s">
        <v>51</v>
      </c>
      <c r="S20">
        <v>0</v>
      </c>
      <c r="V20" t="s">
        <v>72</v>
      </c>
    </row>
    <row r="21" spans="1:22">
      <c r="A21">
        <v>20</v>
      </c>
      <c r="B21">
        <v>2</v>
      </c>
      <c r="C21" t="s">
        <v>110</v>
      </c>
      <c r="E21" s="2" t="s">
        <v>24</v>
      </c>
      <c r="F21" s="15" t="s">
        <v>87</v>
      </c>
      <c r="G21" t="s">
        <v>26</v>
      </c>
      <c r="H21">
        <v>465</v>
      </c>
      <c r="I21" t="s">
        <v>26</v>
      </c>
      <c r="J21" t="s">
        <v>27</v>
      </c>
      <c r="L21" t="s">
        <v>86</v>
      </c>
      <c r="M21">
        <v>961</v>
      </c>
      <c r="P21" s="4" t="s">
        <v>56</v>
      </c>
      <c r="Q21" s="4">
        <v>1</v>
      </c>
      <c r="R21" t="s">
        <v>52</v>
      </c>
      <c r="S21">
        <v>0</v>
      </c>
    </row>
    <row r="22" spans="1:22">
      <c r="A22">
        <v>21</v>
      </c>
      <c r="B22">
        <v>2</v>
      </c>
      <c r="C22" t="s">
        <v>110</v>
      </c>
      <c r="E22" s="2" t="s">
        <v>25</v>
      </c>
      <c r="F22" s="15">
        <v>307.5</v>
      </c>
      <c r="G22" t="s">
        <v>32</v>
      </c>
      <c r="H22">
        <v>399</v>
      </c>
      <c r="I22" t="s">
        <v>32</v>
      </c>
      <c r="J22" t="s">
        <v>28</v>
      </c>
      <c r="L22" t="s">
        <v>86</v>
      </c>
      <c r="M22">
        <v>1878</v>
      </c>
      <c r="P22" s="4" t="s">
        <v>57</v>
      </c>
      <c r="Q22" s="4">
        <v>1</v>
      </c>
      <c r="R22" t="s">
        <v>53</v>
      </c>
      <c r="S22">
        <v>1</v>
      </c>
    </row>
    <row r="23" spans="1:22">
      <c r="A23">
        <v>22</v>
      </c>
      <c r="B23">
        <v>2</v>
      </c>
      <c r="C23" t="s">
        <v>110</v>
      </c>
      <c r="E23" s="2" t="s">
        <v>38</v>
      </c>
      <c r="F23" s="15">
        <v>292.5</v>
      </c>
      <c r="G23" t="s">
        <v>22</v>
      </c>
      <c r="H23">
        <v>36</v>
      </c>
      <c r="J23" t="s">
        <v>29</v>
      </c>
      <c r="P23" s="4" t="s">
        <v>58</v>
      </c>
      <c r="Q23" s="4">
        <v>0</v>
      </c>
      <c r="R23" t="s">
        <v>54</v>
      </c>
      <c r="S23">
        <v>0</v>
      </c>
    </row>
    <row r="24" spans="1:22">
      <c r="A24">
        <v>23</v>
      </c>
      <c r="B24">
        <v>2</v>
      </c>
      <c r="C24" t="s">
        <v>110</v>
      </c>
      <c r="E24" s="2" t="s">
        <v>39</v>
      </c>
      <c r="F24" s="15">
        <v>297.5</v>
      </c>
      <c r="G24" t="s">
        <v>23</v>
      </c>
      <c r="H24">
        <v>36</v>
      </c>
      <c r="J24" t="s">
        <v>24</v>
      </c>
      <c r="P24" s="4" t="s">
        <v>59</v>
      </c>
      <c r="Q24" s="4">
        <v>0</v>
      </c>
    </row>
    <row r="25" spans="1:22">
      <c r="A25">
        <v>24</v>
      </c>
      <c r="B25">
        <v>2</v>
      </c>
      <c r="C25" t="s">
        <v>110</v>
      </c>
      <c r="E25" s="2" t="s">
        <v>40</v>
      </c>
      <c r="F25" s="15">
        <v>302.5</v>
      </c>
      <c r="G25" t="s">
        <v>27</v>
      </c>
      <c r="H25">
        <v>36</v>
      </c>
      <c r="J25" t="s">
        <v>25</v>
      </c>
    </row>
    <row r="26" spans="1:22">
      <c r="A26">
        <v>25</v>
      </c>
      <c r="B26">
        <v>2</v>
      </c>
      <c r="C26" t="s">
        <v>110</v>
      </c>
      <c r="E26" s="2" t="s">
        <v>41</v>
      </c>
      <c r="F26" s="15">
        <v>307.5</v>
      </c>
      <c r="G26" t="s">
        <v>28</v>
      </c>
      <c r="H26">
        <v>36</v>
      </c>
      <c r="J26" t="s">
        <v>30</v>
      </c>
    </row>
    <row r="27" spans="1:22">
      <c r="A27">
        <v>26</v>
      </c>
      <c r="B27">
        <v>2</v>
      </c>
      <c r="C27" t="s">
        <v>110</v>
      </c>
      <c r="G27" t="s">
        <v>29</v>
      </c>
      <c r="H27">
        <v>36</v>
      </c>
    </row>
    <row r="28" spans="1:22">
      <c r="A28">
        <v>27</v>
      </c>
      <c r="B28">
        <v>2</v>
      </c>
      <c r="C28" t="s">
        <v>110</v>
      </c>
      <c r="G28" t="s">
        <v>24</v>
      </c>
      <c r="H28">
        <v>36</v>
      </c>
    </row>
    <row r="29" spans="1:22">
      <c r="A29">
        <v>28</v>
      </c>
      <c r="B29">
        <v>2</v>
      </c>
      <c r="C29" t="s">
        <v>110</v>
      </c>
      <c r="G29" t="s">
        <v>25</v>
      </c>
      <c r="H29">
        <v>36</v>
      </c>
    </row>
    <row r="30" spans="1:22">
      <c r="A30">
        <v>29</v>
      </c>
      <c r="B30">
        <v>2</v>
      </c>
      <c r="C30" t="s">
        <v>110</v>
      </c>
      <c r="G30" t="s">
        <v>30</v>
      </c>
      <c r="H30">
        <v>36</v>
      </c>
    </row>
    <row r="31" spans="1:22">
      <c r="A31">
        <v>30</v>
      </c>
      <c r="B31">
        <v>2</v>
      </c>
      <c r="C31" t="s">
        <v>110</v>
      </c>
      <c r="G31" t="s">
        <v>31</v>
      </c>
      <c r="H31">
        <v>36</v>
      </c>
    </row>
    <row r="32" spans="1:22">
      <c r="A32">
        <v>31</v>
      </c>
      <c r="B32">
        <v>2</v>
      </c>
      <c r="C32" t="s">
        <v>110</v>
      </c>
      <c r="G32" t="s">
        <v>33</v>
      </c>
      <c r="H32">
        <v>36</v>
      </c>
    </row>
    <row r="33" spans="1:22">
      <c r="A33">
        <v>32</v>
      </c>
      <c r="B33">
        <v>2</v>
      </c>
      <c r="C33" t="s">
        <v>110</v>
      </c>
      <c r="G33" t="s">
        <v>34</v>
      </c>
      <c r="H33">
        <v>36</v>
      </c>
    </row>
    <row r="34" spans="1:22">
      <c r="A34">
        <v>33</v>
      </c>
      <c r="B34">
        <v>2</v>
      </c>
      <c r="C34" t="s">
        <v>110</v>
      </c>
      <c r="G34" t="s">
        <v>35</v>
      </c>
      <c r="H34">
        <v>36</v>
      </c>
    </row>
    <row r="35" spans="1:22">
      <c r="A35">
        <v>34</v>
      </c>
      <c r="C35" t="s">
        <v>110</v>
      </c>
    </row>
    <row r="36" spans="1:22">
      <c r="A36">
        <v>35</v>
      </c>
      <c r="B36">
        <v>3</v>
      </c>
      <c r="C36" t="s">
        <v>110</v>
      </c>
      <c r="E36" s="2" t="s">
        <v>20</v>
      </c>
      <c r="F36" s="15">
        <v>292.5</v>
      </c>
      <c r="G36" t="s">
        <v>24</v>
      </c>
      <c r="H36">
        <v>124</v>
      </c>
      <c r="I36" t="s">
        <v>24</v>
      </c>
      <c r="J36" t="s">
        <v>26</v>
      </c>
      <c r="K36" s="3" t="s">
        <v>85</v>
      </c>
      <c r="L36" t="s">
        <v>86</v>
      </c>
      <c r="M36">
        <v>1110</v>
      </c>
      <c r="N36">
        <v>15</v>
      </c>
      <c r="P36" s="4" t="s">
        <v>60</v>
      </c>
      <c r="Q36" s="4">
        <v>1</v>
      </c>
      <c r="R36" t="s">
        <v>50</v>
      </c>
      <c r="S36">
        <v>1</v>
      </c>
      <c r="V36" t="s">
        <v>72</v>
      </c>
    </row>
    <row r="37" spans="1:22">
      <c r="A37">
        <v>36</v>
      </c>
      <c r="B37">
        <v>3</v>
      </c>
      <c r="C37" t="s">
        <v>110</v>
      </c>
      <c r="E37" s="2" t="s">
        <v>21</v>
      </c>
      <c r="F37" s="15">
        <v>297.5</v>
      </c>
      <c r="G37" t="s">
        <v>25</v>
      </c>
      <c r="H37">
        <v>288</v>
      </c>
      <c r="I37" t="s">
        <v>25</v>
      </c>
      <c r="J37" t="s">
        <v>27</v>
      </c>
      <c r="L37" t="s">
        <v>86</v>
      </c>
      <c r="M37">
        <v>1274</v>
      </c>
      <c r="P37" s="4" t="s">
        <v>55</v>
      </c>
      <c r="Q37" s="4">
        <v>0</v>
      </c>
      <c r="R37" t="s">
        <v>51</v>
      </c>
      <c r="S37">
        <v>0</v>
      </c>
      <c r="V37" t="s">
        <v>72</v>
      </c>
    </row>
    <row r="38" spans="1:22">
      <c r="A38">
        <v>37</v>
      </c>
      <c r="B38">
        <v>3</v>
      </c>
      <c r="C38" t="s">
        <v>110</v>
      </c>
      <c r="E38" s="2" t="s">
        <v>24</v>
      </c>
      <c r="F38" s="15" t="s">
        <v>87</v>
      </c>
      <c r="G38" t="s">
        <v>32</v>
      </c>
      <c r="H38">
        <v>272</v>
      </c>
      <c r="I38" t="s">
        <v>32</v>
      </c>
      <c r="J38" t="s">
        <v>28</v>
      </c>
      <c r="L38" t="s">
        <v>86</v>
      </c>
      <c r="M38">
        <v>1751</v>
      </c>
      <c r="P38" s="4" t="s">
        <v>56</v>
      </c>
      <c r="Q38" s="4">
        <v>1</v>
      </c>
      <c r="R38" t="s">
        <v>52</v>
      </c>
      <c r="S38">
        <v>0</v>
      </c>
    </row>
    <row r="39" spans="1:22">
      <c r="A39">
        <v>38</v>
      </c>
      <c r="B39">
        <v>3</v>
      </c>
      <c r="C39" t="s">
        <v>110</v>
      </c>
      <c r="E39" s="2" t="s">
        <v>25</v>
      </c>
      <c r="F39" s="15">
        <v>307.5</v>
      </c>
      <c r="G39" t="s">
        <v>33</v>
      </c>
      <c r="H39">
        <v>303</v>
      </c>
      <c r="I39" t="s">
        <v>33</v>
      </c>
      <c r="J39" t="s">
        <v>29</v>
      </c>
      <c r="L39" t="s">
        <v>86</v>
      </c>
      <c r="M39">
        <v>1782</v>
      </c>
      <c r="P39" s="4" t="s">
        <v>57</v>
      </c>
      <c r="Q39" s="4">
        <v>1</v>
      </c>
      <c r="R39" t="s">
        <v>53</v>
      </c>
      <c r="S39">
        <v>1</v>
      </c>
    </row>
    <row r="40" spans="1:22">
      <c r="A40">
        <v>39</v>
      </c>
      <c r="B40">
        <v>3</v>
      </c>
      <c r="C40" t="s">
        <v>110</v>
      </c>
      <c r="E40" s="2" t="s">
        <v>38</v>
      </c>
      <c r="F40" s="15">
        <v>292.5</v>
      </c>
      <c r="G40" t="s">
        <v>20</v>
      </c>
      <c r="H40">
        <v>36</v>
      </c>
      <c r="J40" t="s">
        <v>30</v>
      </c>
      <c r="P40" s="4" t="s">
        <v>58</v>
      </c>
      <c r="Q40" s="4">
        <v>0</v>
      </c>
      <c r="R40" t="s">
        <v>54</v>
      </c>
      <c r="S40">
        <v>0</v>
      </c>
    </row>
    <row r="41" spans="1:22">
      <c r="A41">
        <v>40</v>
      </c>
      <c r="B41">
        <v>3</v>
      </c>
      <c r="C41" t="s">
        <v>110</v>
      </c>
      <c r="E41" s="2" t="s">
        <v>39</v>
      </c>
      <c r="F41" s="15">
        <v>297.5</v>
      </c>
      <c r="G41" t="s">
        <v>21</v>
      </c>
      <c r="H41">
        <v>36</v>
      </c>
      <c r="J41" t="s">
        <v>31</v>
      </c>
      <c r="P41" s="4" t="s">
        <v>59</v>
      </c>
      <c r="Q41" s="4">
        <v>0</v>
      </c>
    </row>
    <row r="42" spans="1:22">
      <c r="A42">
        <v>41</v>
      </c>
      <c r="B42">
        <v>3</v>
      </c>
      <c r="C42" t="s">
        <v>110</v>
      </c>
      <c r="E42" s="2" t="s">
        <v>40</v>
      </c>
      <c r="F42" s="15">
        <v>302.5</v>
      </c>
      <c r="G42" t="s">
        <v>22</v>
      </c>
      <c r="H42">
        <v>36</v>
      </c>
      <c r="J42" t="s">
        <v>34</v>
      </c>
    </row>
    <row r="43" spans="1:22">
      <c r="A43">
        <v>42</v>
      </c>
      <c r="B43">
        <v>3</v>
      </c>
      <c r="C43" t="s">
        <v>110</v>
      </c>
      <c r="E43" s="2" t="s">
        <v>41</v>
      </c>
      <c r="F43" s="15">
        <v>307.5</v>
      </c>
      <c r="G43" t="s">
        <v>23</v>
      </c>
      <c r="H43">
        <v>36</v>
      </c>
      <c r="J43" t="s">
        <v>35</v>
      </c>
    </row>
    <row r="44" spans="1:22">
      <c r="A44">
        <v>43</v>
      </c>
      <c r="B44">
        <v>3</v>
      </c>
      <c r="C44" t="s">
        <v>110</v>
      </c>
      <c r="G44" t="s">
        <v>26</v>
      </c>
      <c r="H44">
        <v>36</v>
      </c>
    </row>
    <row r="45" spans="1:22">
      <c r="A45">
        <v>44</v>
      </c>
      <c r="B45">
        <v>3</v>
      </c>
      <c r="C45" t="s">
        <v>110</v>
      </c>
      <c r="G45" t="s">
        <v>27</v>
      </c>
      <c r="H45">
        <v>36</v>
      </c>
    </row>
    <row r="46" spans="1:22">
      <c r="A46">
        <v>45</v>
      </c>
      <c r="B46">
        <v>3</v>
      </c>
      <c r="C46" t="s">
        <v>110</v>
      </c>
      <c r="G46" t="s">
        <v>28</v>
      </c>
      <c r="H46">
        <v>36</v>
      </c>
    </row>
    <row r="47" spans="1:22">
      <c r="A47">
        <v>46</v>
      </c>
      <c r="B47">
        <v>3</v>
      </c>
      <c r="C47" t="s">
        <v>110</v>
      </c>
      <c r="G47" t="s">
        <v>29</v>
      </c>
      <c r="H47">
        <v>36</v>
      </c>
    </row>
    <row r="48" spans="1:22">
      <c r="A48">
        <v>47</v>
      </c>
      <c r="B48">
        <v>3</v>
      </c>
      <c r="C48" t="s">
        <v>110</v>
      </c>
      <c r="G48" t="s">
        <v>30</v>
      </c>
      <c r="H48">
        <v>36</v>
      </c>
    </row>
    <row r="49" spans="1:22">
      <c r="A49">
        <v>48</v>
      </c>
      <c r="B49">
        <v>3</v>
      </c>
      <c r="C49" t="s">
        <v>110</v>
      </c>
      <c r="G49" t="s">
        <v>31</v>
      </c>
      <c r="H49">
        <v>36</v>
      </c>
    </row>
    <row r="50" spans="1:22">
      <c r="A50">
        <v>49</v>
      </c>
      <c r="B50">
        <v>3</v>
      </c>
      <c r="C50" t="s">
        <v>110</v>
      </c>
      <c r="G50" t="s">
        <v>34</v>
      </c>
      <c r="H50">
        <v>36</v>
      </c>
    </row>
    <row r="51" spans="1:22">
      <c r="A51">
        <v>50</v>
      </c>
      <c r="B51">
        <v>3</v>
      </c>
      <c r="C51" t="s">
        <v>110</v>
      </c>
      <c r="G51" t="s">
        <v>35</v>
      </c>
      <c r="H51">
        <v>36</v>
      </c>
    </row>
    <row r="52" spans="1:22">
      <c r="A52">
        <v>51</v>
      </c>
      <c r="C52" t="s">
        <v>110</v>
      </c>
    </row>
    <row r="53" spans="1:22">
      <c r="A53">
        <v>52</v>
      </c>
      <c r="C53" t="s">
        <v>110</v>
      </c>
    </row>
    <row r="54" spans="1:22">
      <c r="A54">
        <v>53</v>
      </c>
      <c r="B54">
        <v>4</v>
      </c>
      <c r="C54" t="s">
        <v>110</v>
      </c>
      <c r="E54" s="2" t="s">
        <v>20</v>
      </c>
      <c r="F54" s="15">
        <v>292.5</v>
      </c>
      <c r="G54" t="s">
        <v>26</v>
      </c>
      <c r="H54">
        <v>198</v>
      </c>
      <c r="I54" t="s">
        <v>26</v>
      </c>
      <c r="J54" t="s">
        <v>20</v>
      </c>
      <c r="K54" s="3" t="s">
        <v>85</v>
      </c>
      <c r="L54" t="s">
        <v>86</v>
      </c>
      <c r="M54">
        <v>691</v>
      </c>
      <c r="N54">
        <v>15</v>
      </c>
      <c r="P54" s="4" t="s">
        <v>60</v>
      </c>
      <c r="Q54" s="4">
        <v>1</v>
      </c>
      <c r="R54" t="s">
        <v>50</v>
      </c>
      <c r="S54">
        <v>1</v>
      </c>
      <c r="V54" t="s">
        <v>72</v>
      </c>
    </row>
    <row r="55" spans="1:22">
      <c r="A55">
        <v>54</v>
      </c>
      <c r="B55">
        <v>4</v>
      </c>
      <c r="C55" t="s">
        <v>110</v>
      </c>
      <c r="E55" s="2" t="s">
        <v>21</v>
      </c>
      <c r="F55" s="15">
        <v>297.5</v>
      </c>
      <c r="G55" t="s">
        <v>27</v>
      </c>
      <c r="H55">
        <v>386</v>
      </c>
      <c r="I55" t="s">
        <v>27</v>
      </c>
      <c r="J55" t="s">
        <v>21</v>
      </c>
      <c r="L55" t="s">
        <v>86</v>
      </c>
      <c r="M55">
        <v>879</v>
      </c>
      <c r="P55" s="4" t="s">
        <v>55</v>
      </c>
      <c r="Q55" s="4">
        <v>0</v>
      </c>
      <c r="R55" t="s">
        <v>51</v>
      </c>
      <c r="S55">
        <v>0</v>
      </c>
      <c r="V55" t="s">
        <v>72</v>
      </c>
    </row>
    <row r="56" spans="1:22">
      <c r="A56">
        <v>55</v>
      </c>
      <c r="B56">
        <v>4</v>
      </c>
      <c r="C56" t="s">
        <v>110</v>
      </c>
      <c r="E56" s="2" t="s">
        <v>24</v>
      </c>
      <c r="F56" s="15" t="s">
        <v>87</v>
      </c>
      <c r="G56" t="s">
        <v>24</v>
      </c>
      <c r="H56">
        <v>370</v>
      </c>
      <c r="I56" t="s">
        <v>24</v>
      </c>
      <c r="J56" t="s">
        <v>22</v>
      </c>
      <c r="L56" t="s">
        <v>86</v>
      </c>
      <c r="M56">
        <v>1356</v>
      </c>
      <c r="P56" s="4" t="s">
        <v>56</v>
      </c>
      <c r="Q56" s="4">
        <v>1</v>
      </c>
      <c r="R56" t="s">
        <v>52</v>
      </c>
      <c r="S56">
        <v>0</v>
      </c>
    </row>
    <row r="57" spans="1:22">
      <c r="A57">
        <v>56</v>
      </c>
      <c r="B57">
        <v>4</v>
      </c>
      <c r="C57" t="s">
        <v>110</v>
      </c>
      <c r="E57" s="2" t="s">
        <v>25</v>
      </c>
      <c r="F57" s="15" t="s">
        <v>88</v>
      </c>
      <c r="G57" t="s">
        <v>32</v>
      </c>
      <c r="H57">
        <v>302</v>
      </c>
      <c r="I57" t="s">
        <v>32</v>
      </c>
      <c r="J57" t="s">
        <v>23</v>
      </c>
      <c r="L57" t="s">
        <v>86</v>
      </c>
      <c r="M57">
        <v>302</v>
      </c>
      <c r="P57" s="4" t="s">
        <v>57</v>
      </c>
      <c r="Q57" s="4">
        <v>1</v>
      </c>
      <c r="R57" t="s">
        <v>53</v>
      </c>
      <c r="S57">
        <v>1</v>
      </c>
    </row>
    <row r="58" spans="1:22">
      <c r="A58">
        <v>57</v>
      </c>
      <c r="B58">
        <v>4</v>
      </c>
      <c r="C58" t="s">
        <v>110</v>
      </c>
      <c r="E58" s="2" t="s">
        <v>38</v>
      </c>
      <c r="F58" s="15">
        <v>292.5</v>
      </c>
      <c r="G58" t="s">
        <v>20</v>
      </c>
      <c r="H58">
        <v>36</v>
      </c>
      <c r="J58" t="s">
        <v>25</v>
      </c>
      <c r="P58" s="4" t="s">
        <v>58</v>
      </c>
      <c r="Q58" s="4">
        <v>0</v>
      </c>
      <c r="R58" t="s">
        <v>54</v>
      </c>
      <c r="S58">
        <v>0</v>
      </c>
    </row>
    <row r="59" spans="1:22">
      <c r="A59">
        <v>58</v>
      </c>
      <c r="B59">
        <v>4</v>
      </c>
      <c r="C59" t="s">
        <v>110</v>
      </c>
      <c r="E59" s="2" t="s">
        <v>39</v>
      </c>
      <c r="F59" s="15">
        <v>297.5</v>
      </c>
      <c r="G59" t="s">
        <v>21</v>
      </c>
      <c r="H59">
        <v>36</v>
      </c>
      <c r="J59" t="s">
        <v>33</v>
      </c>
      <c r="P59" s="4" t="s">
        <v>59</v>
      </c>
      <c r="Q59" s="4">
        <v>0</v>
      </c>
    </row>
    <row r="60" spans="1:22">
      <c r="A60">
        <v>59</v>
      </c>
      <c r="B60">
        <v>4</v>
      </c>
      <c r="C60" t="s">
        <v>110</v>
      </c>
      <c r="E60" s="2" t="s">
        <v>40</v>
      </c>
      <c r="F60" s="15">
        <v>302.5</v>
      </c>
      <c r="G60" t="s">
        <v>22</v>
      </c>
      <c r="H60">
        <v>36</v>
      </c>
      <c r="J60" t="s">
        <v>28</v>
      </c>
    </row>
    <row r="61" spans="1:22">
      <c r="A61">
        <v>60</v>
      </c>
      <c r="B61">
        <v>4</v>
      </c>
      <c r="C61" t="s">
        <v>110</v>
      </c>
      <c r="E61" s="2" t="s">
        <v>41</v>
      </c>
      <c r="F61" s="15">
        <v>307.5</v>
      </c>
      <c r="G61" t="s">
        <v>23</v>
      </c>
      <c r="H61">
        <v>36</v>
      </c>
      <c r="J61" t="s">
        <v>29</v>
      </c>
    </row>
    <row r="62" spans="1:22">
      <c r="A62">
        <v>61</v>
      </c>
      <c r="B62">
        <v>4</v>
      </c>
      <c r="C62" t="s">
        <v>110</v>
      </c>
      <c r="G62" t="s">
        <v>25</v>
      </c>
      <c r="H62">
        <v>36</v>
      </c>
    </row>
    <row r="63" spans="1:22">
      <c r="A63">
        <v>62</v>
      </c>
      <c r="B63">
        <v>4</v>
      </c>
      <c r="C63" t="s">
        <v>110</v>
      </c>
      <c r="G63" t="s">
        <v>33</v>
      </c>
      <c r="H63">
        <v>36</v>
      </c>
    </row>
    <row r="64" spans="1:22">
      <c r="A64">
        <v>63</v>
      </c>
      <c r="B64">
        <v>4</v>
      </c>
      <c r="C64" t="s">
        <v>110</v>
      </c>
      <c r="G64" t="s">
        <v>28</v>
      </c>
      <c r="H64">
        <v>36</v>
      </c>
    </row>
    <row r="65" spans="1:22">
      <c r="A65">
        <v>64</v>
      </c>
      <c r="B65">
        <v>4</v>
      </c>
      <c r="C65" t="s">
        <v>110</v>
      </c>
      <c r="G65" t="s">
        <v>29</v>
      </c>
      <c r="H65">
        <v>36</v>
      </c>
    </row>
    <row r="66" spans="1:22">
      <c r="A66">
        <v>65</v>
      </c>
      <c r="B66">
        <v>4</v>
      </c>
      <c r="C66" t="s">
        <v>110</v>
      </c>
      <c r="G66" t="s">
        <v>30</v>
      </c>
      <c r="H66">
        <v>36</v>
      </c>
    </row>
    <row r="67" spans="1:22">
      <c r="A67">
        <v>66</v>
      </c>
      <c r="B67">
        <v>4</v>
      </c>
      <c r="C67" t="s">
        <v>110</v>
      </c>
      <c r="G67" t="s">
        <v>31</v>
      </c>
      <c r="H67">
        <v>36</v>
      </c>
    </row>
    <row r="68" spans="1:22">
      <c r="A68">
        <v>67</v>
      </c>
      <c r="B68">
        <v>4</v>
      </c>
      <c r="C68" t="s">
        <v>110</v>
      </c>
      <c r="G68" t="s">
        <v>34</v>
      </c>
      <c r="H68">
        <v>36</v>
      </c>
    </row>
    <row r="69" spans="1:22">
      <c r="A69">
        <v>68</v>
      </c>
      <c r="B69">
        <v>4</v>
      </c>
      <c r="C69" t="s">
        <v>110</v>
      </c>
      <c r="G69" t="s">
        <v>35</v>
      </c>
      <c r="H69">
        <v>36</v>
      </c>
    </row>
    <row r="70" spans="1:22">
      <c r="A70">
        <v>69</v>
      </c>
      <c r="C70" t="s">
        <v>110</v>
      </c>
    </row>
    <row r="71" spans="1:22">
      <c r="A71">
        <v>70</v>
      </c>
      <c r="B71">
        <v>5</v>
      </c>
      <c r="C71" t="s">
        <v>110</v>
      </c>
      <c r="E71" s="2" t="s">
        <v>20</v>
      </c>
      <c r="F71" s="15">
        <v>292.5</v>
      </c>
      <c r="G71" t="s">
        <v>38</v>
      </c>
      <c r="H71">
        <v>302</v>
      </c>
      <c r="I71" t="s">
        <v>38</v>
      </c>
      <c r="J71" t="s">
        <v>22</v>
      </c>
      <c r="K71" s="3" t="s">
        <v>96</v>
      </c>
      <c r="L71" t="s">
        <v>86</v>
      </c>
      <c r="M71">
        <v>302</v>
      </c>
      <c r="N71">
        <v>15</v>
      </c>
      <c r="P71" s="4" t="s">
        <v>60</v>
      </c>
      <c r="Q71" s="4">
        <v>1</v>
      </c>
      <c r="R71" t="s">
        <v>50</v>
      </c>
      <c r="S71">
        <v>1</v>
      </c>
      <c r="V71" t="s">
        <v>72</v>
      </c>
    </row>
    <row r="72" spans="1:22">
      <c r="A72">
        <v>71</v>
      </c>
      <c r="B72">
        <v>5</v>
      </c>
      <c r="C72" t="s">
        <v>110</v>
      </c>
      <c r="E72" s="2" t="s">
        <v>21</v>
      </c>
      <c r="F72" s="15">
        <v>297.5</v>
      </c>
      <c r="G72" t="s">
        <v>90</v>
      </c>
      <c r="H72">
        <v>247</v>
      </c>
      <c r="I72" t="s">
        <v>90</v>
      </c>
      <c r="J72" t="s">
        <v>23</v>
      </c>
      <c r="L72" t="s">
        <v>86</v>
      </c>
      <c r="M72">
        <v>740</v>
      </c>
      <c r="P72" s="4" t="s">
        <v>55</v>
      </c>
      <c r="Q72" s="4">
        <v>0</v>
      </c>
      <c r="R72" t="s">
        <v>51</v>
      </c>
      <c r="S72">
        <v>0</v>
      </c>
      <c r="V72" t="s">
        <v>72</v>
      </c>
    </row>
    <row r="73" spans="1:22">
      <c r="A73">
        <v>72</v>
      </c>
      <c r="B73">
        <v>5</v>
      </c>
      <c r="C73" t="s">
        <v>110</v>
      </c>
      <c r="E73" s="2" t="s">
        <v>24</v>
      </c>
      <c r="F73" s="15" t="s">
        <v>87</v>
      </c>
      <c r="G73" t="s">
        <v>20</v>
      </c>
      <c r="H73">
        <v>36</v>
      </c>
      <c r="I73" t="s">
        <v>20</v>
      </c>
      <c r="J73" t="s">
        <v>26</v>
      </c>
      <c r="L73" t="s">
        <v>86</v>
      </c>
      <c r="M73">
        <v>36</v>
      </c>
      <c r="P73" s="4" t="s">
        <v>56</v>
      </c>
      <c r="Q73" s="4">
        <v>1</v>
      </c>
      <c r="R73" t="s">
        <v>52</v>
      </c>
      <c r="S73">
        <v>0</v>
      </c>
    </row>
    <row r="74" spans="1:22">
      <c r="A74">
        <v>73</v>
      </c>
      <c r="B74">
        <v>5</v>
      </c>
      <c r="C74" t="s">
        <v>110</v>
      </c>
      <c r="E74" s="2" t="s">
        <v>25</v>
      </c>
      <c r="F74" s="15">
        <v>307.5</v>
      </c>
      <c r="G74" t="s">
        <v>21</v>
      </c>
      <c r="H74">
        <v>198</v>
      </c>
      <c r="I74" t="s">
        <v>21</v>
      </c>
      <c r="J74" t="s">
        <v>27</v>
      </c>
      <c r="L74" t="s">
        <v>86</v>
      </c>
      <c r="M74">
        <v>198</v>
      </c>
      <c r="P74" s="4" t="s">
        <v>57</v>
      </c>
      <c r="Q74" s="4">
        <v>0</v>
      </c>
      <c r="R74" t="s">
        <v>53</v>
      </c>
      <c r="S74">
        <v>1</v>
      </c>
    </row>
    <row r="75" spans="1:22">
      <c r="A75">
        <v>74</v>
      </c>
      <c r="B75">
        <v>5</v>
      </c>
      <c r="C75" t="s">
        <v>110</v>
      </c>
      <c r="E75" s="2" t="s">
        <v>38</v>
      </c>
      <c r="F75" s="15" t="s">
        <v>88</v>
      </c>
      <c r="G75" t="s">
        <v>22</v>
      </c>
      <c r="H75">
        <v>36</v>
      </c>
      <c r="J75" t="s">
        <v>28</v>
      </c>
      <c r="P75" s="4" t="s">
        <v>58</v>
      </c>
      <c r="Q75" s="4">
        <v>1</v>
      </c>
      <c r="R75" t="s">
        <v>54</v>
      </c>
      <c r="S75">
        <v>0</v>
      </c>
    </row>
    <row r="76" spans="1:22">
      <c r="A76">
        <v>75</v>
      </c>
      <c r="B76">
        <v>5</v>
      </c>
      <c r="C76" t="s">
        <v>110</v>
      </c>
      <c r="E76" s="2" t="s">
        <v>39</v>
      </c>
      <c r="F76" s="15" t="s">
        <v>89</v>
      </c>
      <c r="G76" t="s">
        <v>23</v>
      </c>
      <c r="H76">
        <v>36</v>
      </c>
      <c r="J76" t="s">
        <v>29</v>
      </c>
      <c r="P76" s="4" t="s">
        <v>59</v>
      </c>
      <c r="Q76" s="4">
        <v>0</v>
      </c>
    </row>
    <row r="77" spans="1:22">
      <c r="A77">
        <v>76</v>
      </c>
      <c r="B77">
        <v>5</v>
      </c>
      <c r="C77" t="s">
        <v>110</v>
      </c>
      <c r="E77" s="2" t="s">
        <v>40</v>
      </c>
      <c r="F77" s="15">
        <v>302.5</v>
      </c>
      <c r="G77" t="s">
        <v>26</v>
      </c>
      <c r="H77">
        <v>36</v>
      </c>
      <c r="J77" t="s">
        <v>39</v>
      </c>
    </row>
    <row r="78" spans="1:22">
      <c r="A78">
        <v>77</v>
      </c>
      <c r="B78">
        <v>5</v>
      </c>
      <c r="C78" t="s">
        <v>110</v>
      </c>
      <c r="E78" s="2" t="s">
        <v>41</v>
      </c>
      <c r="F78" s="15">
        <v>307.5</v>
      </c>
      <c r="G78" t="s">
        <v>27</v>
      </c>
      <c r="H78">
        <v>36</v>
      </c>
      <c r="J78" t="s">
        <v>91</v>
      </c>
    </row>
    <row r="79" spans="1:22">
      <c r="A79">
        <v>78</v>
      </c>
      <c r="B79">
        <v>5</v>
      </c>
      <c r="C79" t="s">
        <v>110</v>
      </c>
      <c r="G79" t="s">
        <v>28</v>
      </c>
      <c r="H79">
        <v>36</v>
      </c>
    </row>
    <row r="80" spans="1:22">
      <c r="A80">
        <v>79</v>
      </c>
      <c r="B80">
        <v>5</v>
      </c>
      <c r="C80" t="s">
        <v>110</v>
      </c>
      <c r="G80" t="s">
        <v>29</v>
      </c>
      <c r="H80">
        <v>36</v>
      </c>
    </row>
    <row r="81" spans="1:22">
      <c r="A81">
        <v>80</v>
      </c>
      <c r="B81">
        <v>5</v>
      </c>
      <c r="C81" t="s">
        <v>110</v>
      </c>
      <c r="G81" t="s">
        <v>39</v>
      </c>
      <c r="H81">
        <v>36</v>
      </c>
    </row>
    <row r="82" spans="1:22">
      <c r="A82">
        <v>81</v>
      </c>
      <c r="B82">
        <v>5</v>
      </c>
      <c r="C82" t="s">
        <v>110</v>
      </c>
      <c r="G82" t="s">
        <v>91</v>
      </c>
      <c r="H82">
        <v>36</v>
      </c>
    </row>
    <row r="83" spans="1:22">
      <c r="A83">
        <v>82</v>
      </c>
      <c r="B83">
        <v>5</v>
      </c>
      <c r="C83" t="s">
        <v>110</v>
      </c>
      <c r="G83" t="s">
        <v>92</v>
      </c>
      <c r="H83">
        <v>36</v>
      </c>
    </row>
    <row r="84" spans="1:22">
      <c r="A84">
        <v>83</v>
      </c>
      <c r="B84">
        <v>5</v>
      </c>
      <c r="C84" t="s">
        <v>110</v>
      </c>
      <c r="G84" t="s">
        <v>95</v>
      </c>
      <c r="H84">
        <v>36</v>
      </c>
    </row>
    <row r="85" spans="1:22">
      <c r="A85">
        <v>84</v>
      </c>
      <c r="B85">
        <v>5</v>
      </c>
      <c r="C85" t="s">
        <v>110</v>
      </c>
      <c r="G85" t="s">
        <v>93</v>
      </c>
      <c r="H85">
        <v>36</v>
      </c>
    </row>
    <row r="86" spans="1:22">
      <c r="A86">
        <v>85</v>
      </c>
      <c r="B86">
        <v>5</v>
      </c>
      <c r="C86" t="s">
        <v>110</v>
      </c>
      <c r="G86" t="s">
        <v>94</v>
      </c>
      <c r="H86">
        <v>36</v>
      </c>
    </row>
    <row r="87" spans="1:22">
      <c r="A87">
        <v>86</v>
      </c>
      <c r="C87" t="s">
        <v>110</v>
      </c>
    </row>
    <row r="88" spans="1:22">
      <c r="A88">
        <v>87</v>
      </c>
      <c r="B88">
        <v>6</v>
      </c>
      <c r="C88" t="s">
        <v>110</v>
      </c>
      <c r="E88" s="2" t="s">
        <v>20</v>
      </c>
      <c r="F88" s="15">
        <v>292.5</v>
      </c>
      <c r="G88" t="s">
        <v>24</v>
      </c>
      <c r="H88">
        <v>182</v>
      </c>
      <c r="I88" t="s">
        <v>24</v>
      </c>
      <c r="J88" t="s">
        <v>22</v>
      </c>
      <c r="K88" s="3" t="s">
        <v>98</v>
      </c>
      <c r="L88" t="s">
        <v>86</v>
      </c>
      <c r="M88">
        <v>675</v>
      </c>
      <c r="N88">
        <v>15</v>
      </c>
      <c r="P88" s="4" t="s">
        <v>60</v>
      </c>
      <c r="Q88" s="4">
        <v>1</v>
      </c>
      <c r="R88" t="s">
        <v>50</v>
      </c>
      <c r="S88">
        <v>1</v>
      </c>
      <c r="V88" t="s">
        <v>72</v>
      </c>
    </row>
    <row r="89" spans="1:22">
      <c r="A89">
        <v>88</v>
      </c>
      <c r="B89">
        <v>6</v>
      </c>
      <c r="C89" t="s">
        <v>110</v>
      </c>
      <c r="E89" s="2" t="s">
        <v>21</v>
      </c>
      <c r="F89" s="15">
        <v>297.5</v>
      </c>
      <c r="G89" t="s">
        <v>25</v>
      </c>
      <c r="H89">
        <v>182</v>
      </c>
      <c r="I89" t="s">
        <v>25</v>
      </c>
      <c r="J89" t="s">
        <v>23</v>
      </c>
      <c r="L89" t="s">
        <v>86</v>
      </c>
      <c r="M89">
        <v>675</v>
      </c>
      <c r="P89" s="4" t="s">
        <v>55</v>
      </c>
      <c r="Q89" s="4">
        <v>0</v>
      </c>
      <c r="R89" t="s">
        <v>51</v>
      </c>
      <c r="S89">
        <v>0</v>
      </c>
      <c r="V89" t="s">
        <v>72</v>
      </c>
    </row>
    <row r="90" spans="1:22">
      <c r="A90">
        <v>89</v>
      </c>
      <c r="B90">
        <v>6</v>
      </c>
      <c r="C90" t="s">
        <v>110</v>
      </c>
      <c r="E90" s="2" t="s">
        <v>24</v>
      </c>
      <c r="F90" s="15" t="s">
        <v>97</v>
      </c>
      <c r="G90" t="s">
        <v>20</v>
      </c>
      <c r="H90">
        <v>36</v>
      </c>
      <c r="I90" t="s">
        <v>20</v>
      </c>
      <c r="J90" t="s">
        <v>26</v>
      </c>
      <c r="L90" t="s">
        <v>86</v>
      </c>
      <c r="M90">
        <v>36</v>
      </c>
      <c r="P90" s="4" t="s">
        <v>56</v>
      </c>
      <c r="Q90" s="4">
        <v>1</v>
      </c>
      <c r="R90" t="s">
        <v>52</v>
      </c>
      <c r="S90">
        <v>0</v>
      </c>
    </row>
    <row r="91" spans="1:22">
      <c r="A91">
        <v>90</v>
      </c>
      <c r="B91">
        <v>6</v>
      </c>
      <c r="C91" t="s">
        <v>110</v>
      </c>
      <c r="E91" s="2" t="s">
        <v>25</v>
      </c>
      <c r="F91" s="15">
        <v>307.5</v>
      </c>
      <c r="G91" t="s">
        <v>21</v>
      </c>
      <c r="H91">
        <v>198</v>
      </c>
      <c r="I91" t="s">
        <v>21</v>
      </c>
      <c r="J91" t="s">
        <v>27</v>
      </c>
      <c r="L91" t="s">
        <v>86</v>
      </c>
      <c r="M91">
        <v>198</v>
      </c>
      <c r="P91" s="4" t="s">
        <v>57</v>
      </c>
      <c r="Q91" s="4">
        <v>1</v>
      </c>
      <c r="R91" t="s">
        <v>53</v>
      </c>
      <c r="S91">
        <v>1</v>
      </c>
    </row>
    <row r="92" spans="1:22">
      <c r="A92">
        <v>91</v>
      </c>
      <c r="B92">
        <v>6</v>
      </c>
      <c r="C92" t="s">
        <v>110</v>
      </c>
      <c r="E92" s="2" t="s">
        <v>38</v>
      </c>
      <c r="F92" s="15">
        <v>292.5</v>
      </c>
      <c r="G92" t="s">
        <v>22</v>
      </c>
      <c r="H92">
        <v>36</v>
      </c>
      <c r="J92" t="s">
        <v>28</v>
      </c>
      <c r="P92" s="4" t="s">
        <v>58</v>
      </c>
      <c r="Q92" s="4">
        <v>0</v>
      </c>
      <c r="R92" t="s">
        <v>54</v>
      </c>
      <c r="S92">
        <v>0</v>
      </c>
    </row>
    <row r="93" spans="1:22">
      <c r="A93">
        <v>92</v>
      </c>
      <c r="B93">
        <v>6</v>
      </c>
      <c r="C93" t="s">
        <v>110</v>
      </c>
      <c r="E93" s="2" t="s">
        <v>39</v>
      </c>
      <c r="F93" s="15">
        <v>297.5</v>
      </c>
      <c r="G93" t="s">
        <v>23</v>
      </c>
      <c r="H93">
        <v>36</v>
      </c>
      <c r="J93" t="s">
        <v>29</v>
      </c>
      <c r="P93" s="4" t="s">
        <v>59</v>
      </c>
      <c r="Q93" s="4">
        <v>0</v>
      </c>
    </row>
    <row r="94" spans="1:22">
      <c r="A94">
        <v>93</v>
      </c>
      <c r="B94">
        <v>6</v>
      </c>
      <c r="C94" t="s">
        <v>110</v>
      </c>
      <c r="E94" s="2" t="s">
        <v>40</v>
      </c>
      <c r="F94" s="15">
        <v>302.5</v>
      </c>
      <c r="G94" t="s">
        <v>26</v>
      </c>
      <c r="H94">
        <v>36</v>
      </c>
      <c r="J94" t="s">
        <v>30</v>
      </c>
    </row>
    <row r="95" spans="1:22">
      <c r="A95">
        <v>94</v>
      </c>
      <c r="B95">
        <v>6</v>
      </c>
      <c r="C95" t="s">
        <v>110</v>
      </c>
      <c r="E95" s="2" t="s">
        <v>41</v>
      </c>
      <c r="F95" s="15">
        <v>307.5</v>
      </c>
      <c r="G95" t="s">
        <v>27</v>
      </c>
      <c r="H95">
        <v>36</v>
      </c>
      <c r="J95" t="s">
        <v>31</v>
      </c>
    </row>
    <row r="96" spans="1:22">
      <c r="A96">
        <v>95</v>
      </c>
      <c r="B96">
        <v>6</v>
      </c>
      <c r="C96" t="s">
        <v>110</v>
      </c>
      <c r="G96" t="s">
        <v>28</v>
      </c>
      <c r="H96">
        <v>36</v>
      </c>
    </row>
    <row r="97" spans="1:22">
      <c r="A97">
        <v>96</v>
      </c>
      <c r="B97">
        <v>6</v>
      </c>
      <c r="C97" t="s">
        <v>110</v>
      </c>
      <c r="G97" t="s">
        <v>29</v>
      </c>
      <c r="H97">
        <v>36</v>
      </c>
    </row>
    <row r="98" spans="1:22">
      <c r="A98">
        <v>97</v>
      </c>
      <c r="B98">
        <v>6</v>
      </c>
      <c r="C98" t="s">
        <v>110</v>
      </c>
      <c r="G98" t="s">
        <v>30</v>
      </c>
      <c r="H98">
        <v>36</v>
      </c>
    </row>
    <row r="99" spans="1:22">
      <c r="A99">
        <v>98</v>
      </c>
      <c r="B99">
        <v>6</v>
      </c>
      <c r="C99" t="s">
        <v>110</v>
      </c>
      <c r="G99" t="s">
        <v>31</v>
      </c>
      <c r="H99">
        <v>36</v>
      </c>
    </row>
    <row r="100" spans="1:22">
      <c r="A100">
        <v>99</v>
      </c>
      <c r="B100">
        <v>6</v>
      </c>
      <c r="C100" t="s">
        <v>110</v>
      </c>
      <c r="G100" t="s">
        <v>32</v>
      </c>
      <c r="H100">
        <v>36</v>
      </c>
    </row>
    <row r="101" spans="1:22">
      <c r="A101">
        <v>100</v>
      </c>
      <c r="B101">
        <v>6</v>
      </c>
      <c r="C101" t="s">
        <v>110</v>
      </c>
      <c r="G101" t="s">
        <v>33</v>
      </c>
      <c r="H101">
        <v>36</v>
      </c>
    </row>
    <row r="102" spans="1:22">
      <c r="A102">
        <v>101</v>
      </c>
      <c r="B102">
        <v>6</v>
      </c>
      <c r="C102" t="s">
        <v>110</v>
      </c>
      <c r="G102" t="s">
        <v>34</v>
      </c>
      <c r="H102">
        <v>36</v>
      </c>
    </row>
    <row r="103" spans="1:22">
      <c r="A103">
        <v>102</v>
      </c>
      <c r="B103">
        <v>6</v>
      </c>
      <c r="C103" t="s">
        <v>110</v>
      </c>
      <c r="G103" t="s">
        <v>35</v>
      </c>
      <c r="H103">
        <v>36</v>
      </c>
    </row>
    <row r="104" spans="1:22">
      <c r="A104">
        <v>103</v>
      </c>
      <c r="C104" t="s">
        <v>110</v>
      </c>
    </row>
    <row r="105" spans="1:22">
      <c r="A105">
        <v>104</v>
      </c>
      <c r="B105">
        <v>7</v>
      </c>
      <c r="C105" t="s">
        <v>110</v>
      </c>
      <c r="E105" s="2" t="s">
        <v>20</v>
      </c>
      <c r="F105" s="15" t="s">
        <v>97</v>
      </c>
      <c r="G105" t="s">
        <v>20</v>
      </c>
      <c r="H105">
        <v>386</v>
      </c>
      <c r="I105" t="s">
        <v>20</v>
      </c>
      <c r="J105" t="s">
        <v>21</v>
      </c>
      <c r="K105" s="3">
        <v>1011</v>
      </c>
      <c r="L105" t="s">
        <v>86</v>
      </c>
      <c r="M105">
        <v>879</v>
      </c>
      <c r="N105">
        <v>15</v>
      </c>
      <c r="P105" s="4" t="s">
        <v>60</v>
      </c>
      <c r="Q105" s="4">
        <v>1</v>
      </c>
      <c r="R105" t="s">
        <v>50</v>
      </c>
      <c r="S105">
        <v>1</v>
      </c>
      <c r="V105" t="s">
        <v>72</v>
      </c>
    </row>
    <row r="106" spans="1:22">
      <c r="A106">
        <v>105</v>
      </c>
      <c r="B106">
        <v>7</v>
      </c>
      <c r="C106" t="s">
        <v>110</v>
      </c>
      <c r="E106" s="2" t="s">
        <v>21</v>
      </c>
      <c r="F106" s="15" t="s">
        <v>87</v>
      </c>
      <c r="G106" t="s">
        <v>26</v>
      </c>
      <c r="H106">
        <v>370</v>
      </c>
      <c r="I106" t="s">
        <v>26</v>
      </c>
      <c r="J106" t="s">
        <v>22</v>
      </c>
      <c r="L106" t="s">
        <v>86</v>
      </c>
      <c r="M106">
        <v>1356</v>
      </c>
      <c r="P106" s="4" t="s">
        <v>55</v>
      </c>
      <c r="Q106" s="4">
        <v>0</v>
      </c>
      <c r="R106" t="s">
        <v>51</v>
      </c>
      <c r="S106">
        <v>0</v>
      </c>
      <c r="V106" t="s">
        <v>72</v>
      </c>
    </row>
    <row r="107" spans="1:22">
      <c r="A107">
        <v>106</v>
      </c>
      <c r="B107">
        <v>7</v>
      </c>
      <c r="C107" t="s">
        <v>110</v>
      </c>
      <c r="E107" s="2" t="s">
        <v>24</v>
      </c>
      <c r="F107" s="15" t="s">
        <v>87</v>
      </c>
      <c r="G107" t="s">
        <v>38</v>
      </c>
      <c r="H107">
        <v>302</v>
      </c>
      <c r="I107" t="s">
        <v>38</v>
      </c>
      <c r="J107" t="s">
        <v>23</v>
      </c>
      <c r="L107" t="s">
        <v>86</v>
      </c>
      <c r="M107">
        <v>302</v>
      </c>
      <c r="P107" s="4" t="s">
        <v>56</v>
      </c>
      <c r="Q107" s="4">
        <v>1</v>
      </c>
      <c r="R107" t="s">
        <v>52</v>
      </c>
      <c r="S107">
        <v>0</v>
      </c>
    </row>
    <row r="108" spans="1:22">
      <c r="A108">
        <v>107</v>
      </c>
      <c r="B108">
        <v>7</v>
      </c>
      <c r="C108" t="s">
        <v>110</v>
      </c>
      <c r="E108" s="2" t="s">
        <v>25</v>
      </c>
      <c r="F108" s="15">
        <v>307.5</v>
      </c>
      <c r="G108" t="s">
        <v>90</v>
      </c>
      <c r="H108">
        <v>247</v>
      </c>
      <c r="I108" t="s">
        <v>90</v>
      </c>
      <c r="J108" t="s">
        <v>26</v>
      </c>
      <c r="L108" t="s">
        <v>86</v>
      </c>
      <c r="M108">
        <v>740</v>
      </c>
      <c r="P108" s="4" t="s">
        <v>57</v>
      </c>
      <c r="Q108" s="4">
        <v>0</v>
      </c>
      <c r="R108" t="s">
        <v>53</v>
      </c>
      <c r="S108">
        <v>1</v>
      </c>
    </row>
    <row r="109" spans="1:22">
      <c r="A109">
        <v>108</v>
      </c>
      <c r="B109">
        <v>7</v>
      </c>
      <c r="C109" t="s">
        <v>110</v>
      </c>
      <c r="E109" s="2" t="s">
        <v>38</v>
      </c>
      <c r="F109" s="15" t="s">
        <v>88</v>
      </c>
      <c r="G109" t="s">
        <v>21</v>
      </c>
      <c r="H109">
        <v>36</v>
      </c>
      <c r="J109" t="s">
        <v>27</v>
      </c>
      <c r="P109" s="4" t="s">
        <v>58</v>
      </c>
      <c r="Q109" s="4">
        <v>1</v>
      </c>
      <c r="R109" t="s">
        <v>54</v>
      </c>
      <c r="S109">
        <v>0</v>
      </c>
    </row>
    <row r="110" spans="1:22">
      <c r="A110">
        <v>109</v>
      </c>
      <c r="B110">
        <v>7</v>
      </c>
      <c r="C110" t="s">
        <v>110</v>
      </c>
      <c r="E110" s="2" t="s">
        <v>39</v>
      </c>
      <c r="F110" s="15" t="s">
        <v>89</v>
      </c>
      <c r="G110" t="s">
        <v>22</v>
      </c>
      <c r="H110">
        <v>36</v>
      </c>
      <c r="J110" t="s">
        <v>28</v>
      </c>
      <c r="P110" s="4" t="s">
        <v>59</v>
      </c>
      <c r="Q110" s="4">
        <v>0</v>
      </c>
    </row>
    <row r="111" spans="1:22">
      <c r="A111">
        <v>110</v>
      </c>
      <c r="B111">
        <v>7</v>
      </c>
      <c r="C111" t="s">
        <v>110</v>
      </c>
      <c r="E111" s="2" t="s">
        <v>40</v>
      </c>
      <c r="F111" s="15">
        <v>302.5</v>
      </c>
      <c r="G111" t="s">
        <v>23</v>
      </c>
      <c r="H111">
        <v>36</v>
      </c>
      <c r="J111" t="s">
        <v>29</v>
      </c>
    </row>
    <row r="112" spans="1:22">
      <c r="A112">
        <v>111</v>
      </c>
      <c r="B112">
        <v>7</v>
      </c>
      <c r="C112" t="s">
        <v>110</v>
      </c>
      <c r="E112" s="2" t="s">
        <v>41</v>
      </c>
      <c r="F112" s="15">
        <v>307.5</v>
      </c>
      <c r="G112" t="s">
        <v>26</v>
      </c>
      <c r="H112">
        <v>36</v>
      </c>
      <c r="J112" t="s">
        <v>39</v>
      </c>
    </row>
    <row r="113" spans="1:22">
      <c r="A113">
        <v>112</v>
      </c>
      <c r="B113">
        <v>7</v>
      </c>
      <c r="C113" t="s">
        <v>110</v>
      </c>
      <c r="G113" t="s">
        <v>27</v>
      </c>
      <c r="H113">
        <v>36</v>
      </c>
    </row>
    <row r="114" spans="1:22">
      <c r="A114">
        <v>113</v>
      </c>
      <c r="B114">
        <v>7</v>
      </c>
      <c r="C114" t="s">
        <v>110</v>
      </c>
      <c r="G114" t="s">
        <v>28</v>
      </c>
      <c r="H114">
        <v>36</v>
      </c>
    </row>
    <row r="115" spans="1:22">
      <c r="A115">
        <v>114</v>
      </c>
      <c r="B115">
        <v>7</v>
      </c>
      <c r="C115" t="s">
        <v>110</v>
      </c>
      <c r="G115" t="s">
        <v>29</v>
      </c>
      <c r="H115">
        <v>36</v>
      </c>
    </row>
    <row r="116" spans="1:22">
      <c r="A116">
        <v>115</v>
      </c>
      <c r="B116">
        <v>7</v>
      </c>
      <c r="C116" t="s">
        <v>110</v>
      </c>
      <c r="G116" t="s">
        <v>39</v>
      </c>
      <c r="H116">
        <v>36</v>
      </c>
    </row>
    <row r="117" spans="1:22">
      <c r="A117">
        <v>116</v>
      </c>
      <c r="B117">
        <v>7</v>
      </c>
      <c r="C117" t="s">
        <v>110</v>
      </c>
      <c r="G117" t="s">
        <v>91</v>
      </c>
      <c r="H117">
        <v>36</v>
      </c>
    </row>
    <row r="118" spans="1:22">
      <c r="A118">
        <v>117</v>
      </c>
      <c r="B118">
        <v>7</v>
      </c>
      <c r="C118" t="s">
        <v>110</v>
      </c>
      <c r="G118" t="s">
        <v>92</v>
      </c>
      <c r="H118">
        <v>36</v>
      </c>
    </row>
    <row r="119" spans="1:22">
      <c r="A119">
        <v>118</v>
      </c>
      <c r="B119">
        <v>7</v>
      </c>
      <c r="C119" t="s">
        <v>110</v>
      </c>
      <c r="G119" t="s">
        <v>90</v>
      </c>
      <c r="H119">
        <v>36</v>
      </c>
    </row>
    <row r="120" spans="1:22">
      <c r="A120">
        <v>119</v>
      </c>
      <c r="B120">
        <v>7</v>
      </c>
      <c r="C120" t="s">
        <v>110</v>
      </c>
      <c r="G120" t="s">
        <v>93</v>
      </c>
      <c r="H120">
        <v>36</v>
      </c>
    </row>
    <row r="121" spans="1:22">
      <c r="A121">
        <v>120</v>
      </c>
      <c r="C121" t="s">
        <v>110</v>
      </c>
    </row>
    <row r="122" spans="1:22">
      <c r="A122">
        <v>121</v>
      </c>
      <c r="B122">
        <v>8</v>
      </c>
      <c r="C122" t="s">
        <v>110</v>
      </c>
      <c r="E122" s="2" t="s">
        <v>20</v>
      </c>
      <c r="F122" s="15">
        <v>292.5</v>
      </c>
      <c r="G122" t="s">
        <v>20</v>
      </c>
      <c r="H122">
        <v>198</v>
      </c>
      <c r="I122" t="s">
        <v>20</v>
      </c>
      <c r="J122" t="s">
        <v>27</v>
      </c>
      <c r="K122" s="3" t="s">
        <v>99</v>
      </c>
      <c r="L122" t="s">
        <v>86</v>
      </c>
      <c r="M122">
        <v>198</v>
      </c>
      <c r="N122">
        <v>15</v>
      </c>
      <c r="P122" s="4" t="s">
        <v>60</v>
      </c>
      <c r="Q122" s="4">
        <v>1</v>
      </c>
      <c r="R122" t="s">
        <v>50</v>
      </c>
      <c r="S122">
        <v>1</v>
      </c>
      <c r="V122" t="s">
        <v>72</v>
      </c>
    </row>
    <row r="123" spans="1:22">
      <c r="A123">
        <v>122</v>
      </c>
      <c r="B123">
        <v>8</v>
      </c>
      <c r="C123" t="s">
        <v>110</v>
      </c>
      <c r="E123" s="2" t="s">
        <v>21</v>
      </c>
      <c r="F123" s="15">
        <v>297.5</v>
      </c>
      <c r="G123" t="s">
        <v>26</v>
      </c>
      <c r="H123">
        <v>182</v>
      </c>
      <c r="I123" t="s">
        <v>26</v>
      </c>
      <c r="J123" t="s">
        <v>28</v>
      </c>
      <c r="L123" t="s">
        <v>86</v>
      </c>
      <c r="M123">
        <v>675</v>
      </c>
      <c r="P123" s="4" t="s">
        <v>55</v>
      </c>
      <c r="Q123" s="4">
        <v>0</v>
      </c>
      <c r="R123" t="s">
        <v>51</v>
      </c>
      <c r="S123">
        <v>0</v>
      </c>
      <c r="V123" t="s">
        <v>72</v>
      </c>
    </row>
    <row r="124" spans="1:22">
      <c r="A124">
        <v>123</v>
      </c>
      <c r="B124">
        <v>8</v>
      </c>
      <c r="C124" t="s">
        <v>110</v>
      </c>
      <c r="E124" s="2" t="s">
        <v>24</v>
      </c>
      <c r="F124" s="15" t="s">
        <v>87</v>
      </c>
      <c r="G124" t="s">
        <v>32</v>
      </c>
      <c r="H124">
        <v>113</v>
      </c>
      <c r="I124" t="s">
        <v>32</v>
      </c>
      <c r="J124" t="s">
        <v>25</v>
      </c>
      <c r="L124" t="s">
        <v>86</v>
      </c>
      <c r="M124">
        <v>1592</v>
      </c>
      <c r="P124" s="4" t="s">
        <v>56</v>
      </c>
      <c r="Q124" s="4">
        <v>1</v>
      </c>
      <c r="R124" t="s">
        <v>52</v>
      </c>
      <c r="S124">
        <v>0</v>
      </c>
    </row>
    <row r="125" spans="1:22">
      <c r="A125">
        <v>124</v>
      </c>
      <c r="B125">
        <v>8</v>
      </c>
      <c r="C125" t="s">
        <v>110</v>
      </c>
      <c r="E125" s="2" t="s">
        <v>25</v>
      </c>
      <c r="F125" s="15">
        <v>307.5</v>
      </c>
      <c r="G125" t="s">
        <v>24</v>
      </c>
      <c r="H125">
        <v>288</v>
      </c>
      <c r="I125" t="s">
        <v>24</v>
      </c>
      <c r="J125" t="s">
        <v>30</v>
      </c>
      <c r="L125" t="s">
        <v>86</v>
      </c>
      <c r="M125">
        <v>1274</v>
      </c>
      <c r="P125" s="4" t="s">
        <v>57</v>
      </c>
      <c r="Q125" s="4">
        <v>1</v>
      </c>
      <c r="R125" t="s">
        <v>53</v>
      </c>
      <c r="S125">
        <v>1</v>
      </c>
    </row>
    <row r="126" spans="1:22">
      <c r="A126">
        <v>125</v>
      </c>
      <c r="B126">
        <v>8</v>
      </c>
      <c r="C126" t="s">
        <v>110</v>
      </c>
      <c r="E126" s="2" t="s">
        <v>38</v>
      </c>
      <c r="F126" s="15">
        <v>292.5</v>
      </c>
      <c r="G126" t="s">
        <v>21</v>
      </c>
      <c r="H126">
        <v>36</v>
      </c>
      <c r="J126" t="s">
        <v>31</v>
      </c>
      <c r="P126" s="4" t="s">
        <v>58</v>
      </c>
      <c r="Q126" s="4">
        <v>0</v>
      </c>
      <c r="R126" t="s">
        <v>54</v>
      </c>
      <c r="S126">
        <v>0</v>
      </c>
    </row>
    <row r="127" spans="1:22">
      <c r="A127">
        <v>126</v>
      </c>
      <c r="B127">
        <v>8</v>
      </c>
      <c r="C127" t="s">
        <v>110</v>
      </c>
      <c r="E127" s="2" t="s">
        <v>39</v>
      </c>
      <c r="F127" s="15">
        <v>297.5</v>
      </c>
      <c r="G127" t="s">
        <v>22</v>
      </c>
      <c r="H127">
        <v>36</v>
      </c>
      <c r="J127" t="s">
        <v>35</v>
      </c>
      <c r="P127" s="4" t="s">
        <v>59</v>
      </c>
      <c r="Q127" s="4">
        <v>0</v>
      </c>
    </row>
    <row r="128" spans="1:22">
      <c r="A128">
        <v>127</v>
      </c>
      <c r="B128">
        <v>8</v>
      </c>
      <c r="C128" t="s">
        <v>110</v>
      </c>
      <c r="E128" s="2" t="s">
        <v>40</v>
      </c>
      <c r="F128" s="15">
        <v>302.5</v>
      </c>
      <c r="G128" t="s">
        <v>23</v>
      </c>
      <c r="H128">
        <v>36</v>
      </c>
      <c r="J128" t="s">
        <v>33</v>
      </c>
    </row>
    <row r="129" spans="1:22">
      <c r="A129">
        <v>128</v>
      </c>
      <c r="B129">
        <v>8</v>
      </c>
      <c r="C129" t="s">
        <v>110</v>
      </c>
      <c r="E129" s="2" t="s">
        <v>41</v>
      </c>
      <c r="F129" s="15">
        <v>307.5</v>
      </c>
      <c r="G129" t="s">
        <v>29</v>
      </c>
      <c r="H129">
        <v>36</v>
      </c>
      <c r="J129" t="s">
        <v>34</v>
      </c>
    </row>
    <row r="130" spans="1:22">
      <c r="A130">
        <v>129</v>
      </c>
      <c r="B130">
        <v>8</v>
      </c>
      <c r="C130" t="s">
        <v>110</v>
      </c>
      <c r="G130" t="s">
        <v>27</v>
      </c>
      <c r="H130">
        <v>36</v>
      </c>
    </row>
    <row r="131" spans="1:22">
      <c r="A131">
        <v>130</v>
      </c>
      <c r="B131">
        <v>8</v>
      </c>
      <c r="C131" t="s">
        <v>110</v>
      </c>
      <c r="G131" t="s">
        <v>28</v>
      </c>
      <c r="H131">
        <v>36</v>
      </c>
    </row>
    <row r="132" spans="1:22">
      <c r="A132">
        <v>131</v>
      </c>
      <c r="B132">
        <v>8</v>
      </c>
      <c r="C132" t="s">
        <v>110</v>
      </c>
      <c r="G132" t="s">
        <v>25</v>
      </c>
      <c r="H132">
        <v>36</v>
      </c>
    </row>
    <row r="133" spans="1:22">
      <c r="A133">
        <v>132</v>
      </c>
      <c r="B133">
        <v>8</v>
      </c>
      <c r="C133" t="s">
        <v>110</v>
      </c>
      <c r="G133" t="s">
        <v>30</v>
      </c>
      <c r="H133">
        <v>36</v>
      </c>
    </row>
    <row r="134" spans="1:22">
      <c r="A134">
        <v>133</v>
      </c>
      <c r="B134">
        <v>8</v>
      </c>
      <c r="C134" t="s">
        <v>110</v>
      </c>
      <c r="G134" t="s">
        <v>31</v>
      </c>
      <c r="H134">
        <v>36</v>
      </c>
    </row>
    <row r="135" spans="1:22">
      <c r="A135">
        <v>134</v>
      </c>
      <c r="B135">
        <v>8</v>
      </c>
      <c r="C135" t="s">
        <v>110</v>
      </c>
      <c r="G135" t="s">
        <v>35</v>
      </c>
      <c r="H135">
        <v>36</v>
      </c>
    </row>
    <row r="136" spans="1:22">
      <c r="A136">
        <v>135</v>
      </c>
      <c r="B136">
        <v>8</v>
      </c>
      <c r="C136" t="s">
        <v>110</v>
      </c>
      <c r="G136" t="s">
        <v>33</v>
      </c>
      <c r="H136">
        <v>36</v>
      </c>
    </row>
    <row r="137" spans="1:22">
      <c r="A137">
        <v>136</v>
      </c>
      <c r="B137">
        <v>8</v>
      </c>
      <c r="C137" t="s">
        <v>110</v>
      </c>
      <c r="G137" t="s">
        <v>34</v>
      </c>
      <c r="H137">
        <v>36</v>
      </c>
    </row>
    <row r="138" spans="1:22">
      <c r="A138">
        <v>137</v>
      </c>
      <c r="C138" t="s">
        <v>110</v>
      </c>
    </row>
    <row r="139" spans="1:22">
      <c r="A139">
        <v>138</v>
      </c>
      <c r="B139">
        <v>9</v>
      </c>
      <c r="C139" t="s">
        <v>110</v>
      </c>
      <c r="E139" s="2" t="s">
        <v>20</v>
      </c>
      <c r="F139" s="15" t="s">
        <v>100</v>
      </c>
      <c r="G139" t="s">
        <v>20</v>
      </c>
      <c r="H139">
        <v>36</v>
      </c>
      <c r="I139" t="s">
        <v>20</v>
      </c>
      <c r="J139" t="s">
        <v>22</v>
      </c>
      <c r="K139" s="3" t="s">
        <v>101</v>
      </c>
      <c r="L139" t="s">
        <v>86</v>
      </c>
      <c r="M139">
        <v>36</v>
      </c>
      <c r="N139">
        <v>15</v>
      </c>
      <c r="P139" s="4" t="s">
        <v>60</v>
      </c>
      <c r="Q139" s="4">
        <v>1</v>
      </c>
      <c r="R139" t="s">
        <v>50</v>
      </c>
      <c r="S139">
        <v>1</v>
      </c>
      <c r="V139" t="s">
        <v>72</v>
      </c>
    </row>
    <row r="140" spans="1:22">
      <c r="A140">
        <v>139</v>
      </c>
      <c r="B140">
        <v>9</v>
      </c>
      <c r="C140" t="s">
        <v>110</v>
      </c>
      <c r="E140" s="2" t="s">
        <v>21</v>
      </c>
      <c r="F140" s="15">
        <v>297.5</v>
      </c>
      <c r="G140" t="s">
        <v>21</v>
      </c>
      <c r="H140">
        <v>198</v>
      </c>
      <c r="I140" t="s">
        <v>21</v>
      </c>
      <c r="J140" t="s">
        <v>23</v>
      </c>
      <c r="L140" t="s">
        <v>86</v>
      </c>
      <c r="M140">
        <v>198</v>
      </c>
      <c r="P140" s="4" t="s">
        <v>55</v>
      </c>
      <c r="Q140" s="4">
        <v>0</v>
      </c>
      <c r="R140" t="s">
        <v>51</v>
      </c>
      <c r="S140">
        <v>0</v>
      </c>
      <c r="V140" t="s">
        <v>72</v>
      </c>
    </row>
    <row r="141" spans="1:22">
      <c r="A141">
        <v>140</v>
      </c>
      <c r="B141">
        <v>9</v>
      </c>
      <c r="C141" t="s">
        <v>110</v>
      </c>
      <c r="E141" s="2" t="s">
        <v>24</v>
      </c>
      <c r="F141" s="15" t="s">
        <v>87</v>
      </c>
      <c r="G141" t="s">
        <v>26</v>
      </c>
      <c r="H141">
        <v>182</v>
      </c>
      <c r="I141" t="s">
        <v>26</v>
      </c>
      <c r="J141" t="s">
        <v>29</v>
      </c>
      <c r="L141" t="s">
        <v>86</v>
      </c>
      <c r="M141">
        <v>675</v>
      </c>
      <c r="P141" s="4" t="s">
        <v>56</v>
      </c>
      <c r="Q141" s="4">
        <v>1</v>
      </c>
      <c r="R141" t="s">
        <v>52</v>
      </c>
      <c r="S141">
        <v>0</v>
      </c>
    </row>
    <row r="142" spans="1:22">
      <c r="A142">
        <v>141</v>
      </c>
      <c r="B142">
        <v>9</v>
      </c>
      <c r="C142" t="s">
        <v>110</v>
      </c>
      <c r="E142" s="2" t="s">
        <v>25</v>
      </c>
      <c r="F142" s="15">
        <v>307.5</v>
      </c>
      <c r="G142" t="s">
        <v>32</v>
      </c>
      <c r="H142">
        <v>113</v>
      </c>
      <c r="I142" t="s">
        <v>32</v>
      </c>
      <c r="J142" t="s">
        <v>27</v>
      </c>
      <c r="L142" t="s">
        <v>86</v>
      </c>
      <c r="M142">
        <v>1592</v>
      </c>
      <c r="P142" s="4" t="s">
        <v>57</v>
      </c>
      <c r="Q142" s="4">
        <v>1</v>
      </c>
      <c r="R142" t="s">
        <v>53</v>
      </c>
      <c r="S142">
        <v>0</v>
      </c>
    </row>
    <row r="143" spans="1:22">
      <c r="A143">
        <v>142</v>
      </c>
      <c r="B143">
        <v>9</v>
      </c>
      <c r="C143" t="s">
        <v>110</v>
      </c>
      <c r="E143" s="2" t="s">
        <v>38</v>
      </c>
      <c r="F143" s="15">
        <v>292.5</v>
      </c>
      <c r="G143" t="s">
        <v>22</v>
      </c>
      <c r="H143">
        <v>36</v>
      </c>
      <c r="J143" t="s">
        <v>28</v>
      </c>
      <c r="P143" s="4" t="s">
        <v>58</v>
      </c>
      <c r="Q143" s="4">
        <v>0</v>
      </c>
      <c r="R143" t="s">
        <v>54</v>
      </c>
      <c r="S143">
        <v>1</v>
      </c>
    </row>
    <row r="144" spans="1:22">
      <c r="A144">
        <v>143</v>
      </c>
      <c r="B144">
        <v>9</v>
      </c>
      <c r="C144" t="s">
        <v>110</v>
      </c>
      <c r="E144" s="2" t="s">
        <v>39</v>
      </c>
      <c r="F144" s="15">
        <v>297.5</v>
      </c>
      <c r="G144" t="s">
        <v>23</v>
      </c>
      <c r="H144">
        <v>36</v>
      </c>
      <c r="J144" t="s">
        <v>24</v>
      </c>
      <c r="P144" s="4" t="s">
        <v>59</v>
      </c>
      <c r="Q144" s="4">
        <v>0</v>
      </c>
    </row>
    <row r="145" spans="1:22">
      <c r="A145">
        <v>144</v>
      </c>
      <c r="B145">
        <v>9</v>
      </c>
      <c r="C145" t="s">
        <v>110</v>
      </c>
      <c r="E145" s="2" t="s">
        <v>40</v>
      </c>
      <c r="F145" s="15">
        <v>302.5</v>
      </c>
      <c r="G145" t="s">
        <v>29</v>
      </c>
      <c r="H145">
        <v>36</v>
      </c>
      <c r="J145" t="s">
        <v>25</v>
      </c>
    </row>
    <row r="146" spans="1:22">
      <c r="A146">
        <v>145</v>
      </c>
      <c r="B146">
        <v>9</v>
      </c>
      <c r="C146" t="s">
        <v>110</v>
      </c>
      <c r="E146" s="2" t="s">
        <v>41</v>
      </c>
      <c r="F146" s="15">
        <v>307.5</v>
      </c>
      <c r="G146" t="s">
        <v>27</v>
      </c>
      <c r="H146">
        <v>36</v>
      </c>
      <c r="J146" t="s">
        <v>30</v>
      </c>
    </row>
    <row r="147" spans="1:22">
      <c r="A147">
        <v>146</v>
      </c>
      <c r="B147">
        <v>9</v>
      </c>
      <c r="C147" t="s">
        <v>110</v>
      </c>
      <c r="G147" t="s">
        <v>28</v>
      </c>
      <c r="H147">
        <v>36</v>
      </c>
    </row>
    <row r="148" spans="1:22">
      <c r="A148">
        <v>147</v>
      </c>
      <c r="B148">
        <v>9</v>
      </c>
      <c r="C148" t="s">
        <v>110</v>
      </c>
      <c r="G148" t="s">
        <v>24</v>
      </c>
      <c r="H148">
        <v>36</v>
      </c>
    </row>
    <row r="149" spans="1:22">
      <c r="A149">
        <v>148</v>
      </c>
      <c r="B149">
        <v>9</v>
      </c>
      <c r="C149" t="s">
        <v>110</v>
      </c>
      <c r="G149" t="s">
        <v>25</v>
      </c>
      <c r="H149">
        <v>36</v>
      </c>
    </row>
    <row r="150" spans="1:22">
      <c r="A150">
        <v>149</v>
      </c>
      <c r="B150">
        <v>9</v>
      </c>
      <c r="C150" t="s">
        <v>110</v>
      </c>
      <c r="G150" t="s">
        <v>30</v>
      </c>
      <c r="H150">
        <v>36</v>
      </c>
    </row>
    <row r="151" spans="1:22">
      <c r="A151">
        <v>150</v>
      </c>
      <c r="B151">
        <v>9</v>
      </c>
      <c r="C151" t="s">
        <v>110</v>
      </c>
      <c r="G151" t="s">
        <v>31</v>
      </c>
      <c r="H151">
        <v>36</v>
      </c>
    </row>
    <row r="152" spans="1:22">
      <c r="A152">
        <v>151</v>
      </c>
      <c r="B152">
        <v>9</v>
      </c>
      <c r="C152" t="s">
        <v>110</v>
      </c>
      <c r="G152" t="s">
        <v>35</v>
      </c>
      <c r="H152">
        <v>36</v>
      </c>
    </row>
    <row r="153" spans="1:22">
      <c r="A153">
        <v>152</v>
      </c>
      <c r="B153">
        <v>9</v>
      </c>
      <c r="C153" t="s">
        <v>110</v>
      </c>
      <c r="G153" t="s">
        <v>33</v>
      </c>
      <c r="H153">
        <v>36</v>
      </c>
    </row>
    <row r="154" spans="1:22">
      <c r="A154">
        <v>153</v>
      </c>
      <c r="B154">
        <v>9</v>
      </c>
      <c r="C154" t="s">
        <v>110</v>
      </c>
      <c r="G154" t="s">
        <v>34</v>
      </c>
      <c r="H154">
        <v>36</v>
      </c>
    </row>
    <row r="155" spans="1:22">
      <c r="A155">
        <v>154</v>
      </c>
      <c r="C155" t="s">
        <v>110</v>
      </c>
    </row>
    <row r="156" spans="1:22">
      <c r="A156">
        <v>155</v>
      </c>
      <c r="B156">
        <v>10</v>
      </c>
      <c r="C156" t="s">
        <v>110</v>
      </c>
      <c r="E156" s="2" t="s">
        <v>20</v>
      </c>
      <c r="F156" s="15">
        <v>292.5</v>
      </c>
      <c r="G156" t="s">
        <v>24</v>
      </c>
      <c r="H156">
        <v>370</v>
      </c>
      <c r="I156" t="s">
        <v>24</v>
      </c>
      <c r="J156" t="s">
        <v>25</v>
      </c>
      <c r="K156" s="3" t="s">
        <v>102</v>
      </c>
      <c r="L156" t="s">
        <v>86</v>
      </c>
      <c r="M156">
        <v>1356</v>
      </c>
      <c r="N156">
        <v>15</v>
      </c>
      <c r="P156" s="4" t="s">
        <v>60</v>
      </c>
      <c r="Q156" s="4">
        <v>1</v>
      </c>
      <c r="R156" t="s">
        <v>50</v>
      </c>
      <c r="S156">
        <v>1</v>
      </c>
      <c r="V156" t="s">
        <v>72</v>
      </c>
    </row>
    <row r="157" spans="1:22">
      <c r="A157">
        <v>156</v>
      </c>
      <c r="B157">
        <v>10</v>
      </c>
      <c r="C157" t="s">
        <v>110</v>
      </c>
      <c r="E157" s="2" t="s">
        <v>21</v>
      </c>
      <c r="F157" s="15">
        <v>297.5</v>
      </c>
      <c r="G157" t="s">
        <v>38</v>
      </c>
      <c r="H157">
        <v>302</v>
      </c>
      <c r="I157" t="s">
        <v>38</v>
      </c>
      <c r="J157" t="s">
        <v>30</v>
      </c>
      <c r="L157" t="s">
        <v>86</v>
      </c>
      <c r="M157">
        <v>302</v>
      </c>
      <c r="P157" s="4" t="s">
        <v>55</v>
      </c>
      <c r="Q157" s="4">
        <v>0</v>
      </c>
      <c r="R157" t="s">
        <v>51</v>
      </c>
      <c r="S157">
        <v>0</v>
      </c>
      <c r="V157" t="s">
        <v>72</v>
      </c>
    </row>
    <row r="158" spans="1:22">
      <c r="A158">
        <v>157</v>
      </c>
      <c r="B158">
        <v>10</v>
      </c>
      <c r="C158" t="s">
        <v>110</v>
      </c>
      <c r="E158" s="2" t="s">
        <v>24</v>
      </c>
      <c r="F158" s="15" t="s">
        <v>87</v>
      </c>
      <c r="G158" t="s">
        <v>90</v>
      </c>
      <c r="H158">
        <v>247</v>
      </c>
      <c r="I158" t="s">
        <v>90</v>
      </c>
      <c r="J158" t="s">
        <v>31</v>
      </c>
      <c r="L158" t="s">
        <v>86</v>
      </c>
      <c r="M158">
        <v>740</v>
      </c>
      <c r="P158" s="4" t="s">
        <v>56</v>
      </c>
      <c r="Q158" s="4">
        <v>0</v>
      </c>
      <c r="R158" t="s">
        <v>52</v>
      </c>
      <c r="S158">
        <v>0</v>
      </c>
    </row>
    <row r="159" spans="1:22">
      <c r="A159">
        <v>158</v>
      </c>
      <c r="B159">
        <v>10</v>
      </c>
      <c r="C159" t="s">
        <v>110</v>
      </c>
      <c r="E159" s="2" t="s">
        <v>25</v>
      </c>
      <c r="F159" s="15">
        <v>307.5</v>
      </c>
      <c r="G159" t="s">
        <v>93</v>
      </c>
      <c r="H159">
        <v>247</v>
      </c>
      <c r="I159" t="s">
        <v>93</v>
      </c>
      <c r="J159" t="s">
        <v>32</v>
      </c>
      <c r="L159" t="s">
        <v>86</v>
      </c>
      <c r="M159">
        <v>740</v>
      </c>
      <c r="P159" s="4" t="s">
        <v>57</v>
      </c>
      <c r="Q159" s="4">
        <v>1</v>
      </c>
      <c r="R159" t="s">
        <v>53</v>
      </c>
      <c r="S159">
        <v>0</v>
      </c>
    </row>
    <row r="160" spans="1:22">
      <c r="A160">
        <v>159</v>
      </c>
      <c r="B160">
        <v>10</v>
      </c>
      <c r="C160" t="s">
        <v>110</v>
      </c>
      <c r="E160" s="2" t="s">
        <v>38</v>
      </c>
      <c r="F160" s="15" t="s">
        <v>88</v>
      </c>
      <c r="G160" t="s">
        <v>25</v>
      </c>
      <c r="H160">
        <v>36</v>
      </c>
      <c r="J160" t="s">
        <v>33</v>
      </c>
      <c r="P160" s="4" t="s">
        <v>58</v>
      </c>
      <c r="Q160" s="4">
        <v>1</v>
      </c>
      <c r="R160" t="s">
        <v>54</v>
      </c>
      <c r="S160">
        <v>1</v>
      </c>
    </row>
    <row r="161" spans="1:22">
      <c r="A161">
        <v>160</v>
      </c>
      <c r="B161">
        <v>10</v>
      </c>
      <c r="C161" t="s">
        <v>110</v>
      </c>
      <c r="E161" s="2" t="s">
        <v>39</v>
      </c>
      <c r="F161" s="15" t="s">
        <v>89</v>
      </c>
      <c r="G161" t="s">
        <v>30</v>
      </c>
      <c r="H161">
        <v>36</v>
      </c>
      <c r="J161" t="s">
        <v>34</v>
      </c>
      <c r="P161" s="4" t="s">
        <v>59</v>
      </c>
      <c r="Q161" s="4">
        <v>0</v>
      </c>
    </row>
    <row r="162" spans="1:22">
      <c r="A162">
        <v>161</v>
      </c>
      <c r="B162">
        <v>10</v>
      </c>
      <c r="C162" t="s">
        <v>110</v>
      </c>
      <c r="E162" s="2" t="s">
        <v>40</v>
      </c>
      <c r="F162" s="15">
        <v>302.5</v>
      </c>
      <c r="G162" t="s">
        <v>31</v>
      </c>
      <c r="H162">
        <v>36</v>
      </c>
      <c r="J162" t="s">
        <v>35</v>
      </c>
    </row>
    <row r="163" spans="1:22">
      <c r="A163">
        <v>162</v>
      </c>
      <c r="B163">
        <v>10</v>
      </c>
      <c r="C163" t="s">
        <v>110</v>
      </c>
      <c r="E163" s="2" t="s">
        <v>41</v>
      </c>
      <c r="F163" s="15">
        <v>307.5</v>
      </c>
      <c r="G163" t="s">
        <v>32</v>
      </c>
      <c r="H163">
        <v>36</v>
      </c>
      <c r="J163" t="s">
        <v>39</v>
      </c>
    </row>
    <row r="164" spans="1:22">
      <c r="A164">
        <v>163</v>
      </c>
      <c r="B164">
        <v>10</v>
      </c>
      <c r="C164" t="s">
        <v>110</v>
      </c>
      <c r="G164" t="s">
        <v>33</v>
      </c>
      <c r="H164">
        <v>36</v>
      </c>
    </row>
    <row r="165" spans="1:22">
      <c r="A165">
        <v>164</v>
      </c>
      <c r="B165">
        <v>10</v>
      </c>
      <c r="C165" t="s">
        <v>110</v>
      </c>
      <c r="G165" t="s">
        <v>34</v>
      </c>
      <c r="H165">
        <v>36</v>
      </c>
    </row>
    <row r="166" spans="1:22">
      <c r="A166">
        <v>165</v>
      </c>
      <c r="B166">
        <v>10</v>
      </c>
      <c r="C166" t="s">
        <v>110</v>
      </c>
      <c r="G166" t="s">
        <v>35</v>
      </c>
      <c r="H166">
        <v>36</v>
      </c>
    </row>
    <row r="167" spans="1:22">
      <c r="A167">
        <v>166</v>
      </c>
      <c r="B167">
        <v>10</v>
      </c>
      <c r="C167" t="s">
        <v>110</v>
      </c>
      <c r="G167" t="s">
        <v>39</v>
      </c>
      <c r="H167">
        <v>36</v>
      </c>
    </row>
    <row r="168" spans="1:22">
      <c r="A168">
        <v>167</v>
      </c>
      <c r="B168">
        <v>10</v>
      </c>
      <c r="C168" t="s">
        <v>110</v>
      </c>
      <c r="G168" t="s">
        <v>91</v>
      </c>
      <c r="H168">
        <v>36</v>
      </c>
    </row>
    <row r="169" spans="1:22">
      <c r="A169">
        <v>168</v>
      </c>
      <c r="B169">
        <v>10</v>
      </c>
      <c r="C169" t="s">
        <v>110</v>
      </c>
      <c r="G169" t="s">
        <v>92</v>
      </c>
      <c r="H169">
        <v>36</v>
      </c>
    </row>
    <row r="170" spans="1:22">
      <c r="A170">
        <v>169</v>
      </c>
      <c r="B170">
        <v>10</v>
      </c>
      <c r="C170" t="s">
        <v>110</v>
      </c>
      <c r="G170" t="s">
        <v>94</v>
      </c>
      <c r="H170">
        <v>36</v>
      </c>
    </row>
    <row r="171" spans="1:22">
      <c r="A171">
        <v>170</v>
      </c>
      <c r="B171">
        <v>10</v>
      </c>
      <c r="C171" t="s">
        <v>110</v>
      </c>
      <c r="G171" t="s">
        <v>95</v>
      </c>
      <c r="H171">
        <v>36</v>
      </c>
    </row>
    <row r="172" spans="1:22">
      <c r="A172">
        <v>171</v>
      </c>
      <c r="C172" t="s">
        <v>110</v>
      </c>
    </row>
    <row r="173" spans="1:22">
      <c r="A173">
        <v>172</v>
      </c>
      <c r="B173">
        <v>11</v>
      </c>
      <c r="C173" t="s">
        <v>110</v>
      </c>
      <c r="E173" s="2" t="s">
        <v>20</v>
      </c>
      <c r="F173" s="15">
        <v>292.5</v>
      </c>
      <c r="G173" t="s">
        <v>103</v>
      </c>
      <c r="H173">
        <v>198</v>
      </c>
      <c r="I173" t="s">
        <v>103</v>
      </c>
      <c r="J173" t="s">
        <v>22</v>
      </c>
      <c r="K173" s="3" t="s">
        <v>96</v>
      </c>
      <c r="L173" t="s">
        <v>86</v>
      </c>
      <c r="M173">
        <v>198</v>
      </c>
      <c r="N173">
        <v>15</v>
      </c>
      <c r="P173" s="4" t="s">
        <v>60</v>
      </c>
      <c r="Q173" s="4">
        <v>1</v>
      </c>
      <c r="R173" t="s">
        <v>50</v>
      </c>
      <c r="S173">
        <v>1</v>
      </c>
      <c r="V173" t="s">
        <v>72</v>
      </c>
    </row>
    <row r="174" spans="1:22">
      <c r="A174">
        <v>173</v>
      </c>
      <c r="B174">
        <v>11</v>
      </c>
      <c r="C174" t="s">
        <v>110</v>
      </c>
      <c r="E174" s="2" t="s">
        <v>21</v>
      </c>
      <c r="F174" s="15">
        <v>297.5</v>
      </c>
      <c r="G174" t="s">
        <v>40</v>
      </c>
      <c r="H174">
        <v>247</v>
      </c>
      <c r="I174" t="s">
        <v>40</v>
      </c>
      <c r="J174" t="s">
        <v>23</v>
      </c>
      <c r="L174" t="s">
        <v>86</v>
      </c>
      <c r="M174">
        <v>740</v>
      </c>
      <c r="P174" s="4" t="s">
        <v>55</v>
      </c>
      <c r="Q174" s="4">
        <v>0</v>
      </c>
      <c r="R174" t="s">
        <v>51</v>
      </c>
      <c r="S174">
        <v>0</v>
      </c>
      <c r="V174" t="s">
        <v>72</v>
      </c>
    </row>
    <row r="175" spans="1:22">
      <c r="A175">
        <v>174</v>
      </c>
      <c r="B175">
        <v>11</v>
      </c>
      <c r="C175" t="s">
        <v>110</v>
      </c>
      <c r="E175" s="2" t="s">
        <v>24</v>
      </c>
      <c r="F175" s="15" t="s">
        <v>87</v>
      </c>
      <c r="G175" t="s">
        <v>20</v>
      </c>
      <c r="H175">
        <v>36</v>
      </c>
      <c r="I175" t="s">
        <v>20</v>
      </c>
      <c r="J175" t="s">
        <v>26</v>
      </c>
      <c r="L175" t="s">
        <v>86</v>
      </c>
      <c r="M175">
        <v>36</v>
      </c>
      <c r="P175" s="4" t="s">
        <v>56</v>
      </c>
      <c r="Q175" s="4">
        <v>1</v>
      </c>
      <c r="R175" t="s">
        <v>52</v>
      </c>
      <c r="S175">
        <v>0</v>
      </c>
    </row>
    <row r="176" spans="1:22">
      <c r="A176">
        <v>175</v>
      </c>
      <c r="B176">
        <v>11</v>
      </c>
      <c r="C176" t="s">
        <v>110</v>
      </c>
      <c r="E176" s="2" t="s">
        <v>25</v>
      </c>
      <c r="F176" s="15">
        <v>307.5</v>
      </c>
      <c r="G176" t="s">
        <v>21</v>
      </c>
      <c r="H176">
        <v>198</v>
      </c>
      <c r="I176" t="s">
        <v>21</v>
      </c>
      <c r="J176" t="s">
        <v>27</v>
      </c>
      <c r="L176" t="s">
        <v>86</v>
      </c>
      <c r="M176">
        <v>198</v>
      </c>
      <c r="P176" s="4" t="s">
        <v>57</v>
      </c>
      <c r="Q176" s="4">
        <v>0</v>
      </c>
      <c r="R176" t="s">
        <v>53</v>
      </c>
      <c r="S176">
        <v>0</v>
      </c>
    </row>
    <row r="177" spans="1:24">
      <c r="A177">
        <v>176</v>
      </c>
      <c r="B177">
        <v>11</v>
      </c>
      <c r="C177" t="s">
        <v>110</v>
      </c>
      <c r="E177" s="2" t="s">
        <v>38</v>
      </c>
      <c r="F177" s="15" t="s">
        <v>100</v>
      </c>
      <c r="G177" t="s">
        <v>22</v>
      </c>
      <c r="H177">
        <v>36</v>
      </c>
      <c r="J177" t="s">
        <v>28</v>
      </c>
      <c r="P177" s="4" t="s">
        <v>58</v>
      </c>
      <c r="Q177" s="4">
        <v>0</v>
      </c>
      <c r="R177" t="s">
        <v>54</v>
      </c>
      <c r="S177">
        <v>1</v>
      </c>
    </row>
    <row r="178" spans="1:24">
      <c r="A178">
        <v>177</v>
      </c>
      <c r="B178">
        <v>11</v>
      </c>
      <c r="C178" t="s">
        <v>110</v>
      </c>
      <c r="E178" s="2" t="s">
        <v>39</v>
      </c>
      <c r="F178" s="15">
        <v>297.5</v>
      </c>
      <c r="G178" t="s">
        <v>23</v>
      </c>
      <c r="H178">
        <v>36</v>
      </c>
      <c r="J178" t="s">
        <v>29</v>
      </c>
      <c r="P178" s="4" t="s">
        <v>59</v>
      </c>
      <c r="Q178" s="4">
        <v>1</v>
      </c>
    </row>
    <row r="179" spans="1:24">
      <c r="A179">
        <v>178</v>
      </c>
      <c r="B179">
        <v>11</v>
      </c>
      <c r="C179" t="s">
        <v>110</v>
      </c>
      <c r="E179" s="2" t="s">
        <v>40</v>
      </c>
      <c r="F179" s="15" t="s">
        <v>89</v>
      </c>
      <c r="G179" t="s">
        <v>26</v>
      </c>
      <c r="H179">
        <v>36</v>
      </c>
      <c r="J179" t="s">
        <v>41</v>
      </c>
    </row>
    <row r="180" spans="1:24">
      <c r="A180">
        <v>179</v>
      </c>
      <c r="B180">
        <v>11</v>
      </c>
      <c r="C180" t="s">
        <v>110</v>
      </c>
      <c r="E180" s="2" t="s">
        <v>41</v>
      </c>
      <c r="F180" s="15" t="s">
        <v>100</v>
      </c>
      <c r="G180" t="s">
        <v>27</v>
      </c>
      <c r="H180">
        <v>36</v>
      </c>
      <c r="J180" t="s">
        <v>107</v>
      </c>
    </row>
    <row r="181" spans="1:24">
      <c r="A181">
        <v>180</v>
      </c>
      <c r="B181">
        <v>11</v>
      </c>
      <c r="C181" t="s">
        <v>110</v>
      </c>
      <c r="G181" t="s">
        <v>28</v>
      </c>
      <c r="H181">
        <v>36</v>
      </c>
    </row>
    <row r="182" spans="1:24">
      <c r="A182">
        <v>181</v>
      </c>
      <c r="B182">
        <v>11</v>
      </c>
      <c r="C182" t="s">
        <v>110</v>
      </c>
      <c r="G182" t="s">
        <v>29</v>
      </c>
      <c r="H182">
        <v>36</v>
      </c>
    </row>
    <row r="183" spans="1:24">
      <c r="A183">
        <v>182</v>
      </c>
      <c r="B183">
        <v>11</v>
      </c>
      <c r="C183" t="s">
        <v>110</v>
      </c>
      <c r="G183" t="s">
        <v>41</v>
      </c>
      <c r="H183">
        <v>36</v>
      </c>
    </row>
    <row r="184" spans="1:24">
      <c r="A184">
        <v>183</v>
      </c>
      <c r="B184">
        <v>11</v>
      </c>
      <c r="C184" t="s">
        <v>110</v>
      </c>
      <c r="G184" t="s">
        <v>107</v>
      </c>
      <c r="H184">
        <v>36</v>
      </c>
    </row>
    <row r="185" spans="1:24">
      <c r="A185">
        <v>184</v>
      </c>
      <c r="B185">
        <v>11</v>
      </c>
      <c r="C185" t="s">
        <v>110</v>
      </c>
      <c r="G185" t="s">
        <v>108</v>
      </c>
      <c r="H185">
        <v>36</v>
      </c>
    </row>
    <row r="186" spans="1:24">
      <c r="A186">
        <v>185</v>
      </c>
      <c r="B186">
        <v>11</v>
      </c>
      <c r="C186" t="s">
        <v>110</v>
      </c>
      <c r="G186" t="s">
        <v>106</v>
      </c>
      <c r="H186">
        <v>36</v>
      </c>
    </row>
    <row r="187" spans="1:24">
      <c r="A187">
        <v>186</v>
      </c>
      <c r="B187">
        <v>11</v>
      </c>
      <c r="C187" t="s">
        <v>110</v>
      </c>
      <c r="G187" t="s">
        <v>104</v>
      </c>
      <c r="H187">
        <v>36</v>
      </c>
    </row>
    <row r="188" spans="1:24">
      <c r="A188">
        <v>187</v>
      </c>
      <c r="B188">
        <v>11</v>
      </c>
      <c r="C188" t="s">
        <v>110</v>
      </c>
      <c r="G188" t="s">
        <v>105</v>
      </c>
      <c r="H188">
        <v>36</v>
      </c>
    </row>
    <row r="189" spans="1:24">
      <c r="A189">
        <v>188</v>
      </c>
      <c r="B189">
        <v>11</v>
      </c>
      <c r="C189" t="s">
        <v>110</v>
      </c>
    </row>
    <row r="190" spans="1:24">
      <c r="A190">
        <v>189</v>
      </c>
      <c r="E190" s="2"/>
      <c r="F190" s="15"/>
      <c r="K190" s="3"/>
    </row>
    <row r="191" spans="1:24">
      <c r="A191">
        <v>190</v>
      </c>
      <c r="B191">
        <v>1</v>
      </c>
      <c r="C191" t="s">
        <v>111</v>
      </c>
      <c r="E191" s="2"/>
      <c r="F191" s="15"/>
      <c r="P191" s="4" t="s">
        <v>60</v>
      </c>
      <c r="Q191" s="4">
        <v>1</v>
      </c>
      <c r="R191" t="s">
        <v>50</v>
      </c>
      <c r="S191">
        <v>1</v>
      </c>
      <c r="T191" t="s">
        <v>117</v>
      </c>
      <c r="U191" t="s">
        <v>67</v>
      </c>
      <c r="V191" t="s">
        <v>72</v>
      </c>
      <c r="W191" t="s">
        <v>121</v>
      </c>
      <c r="X191">
        <v>24</v>
      </c>
    </row>
    <row r="192" spans="1:24">
      <c r="A192">
        <v>191</v>
      </c>
      <c r="B192">
        <v>1</v>
      </c>
      <c r="C192" t="s">
        <v>111</v>
      </c>
      <c r="E192" s="2"/>
      <c r="F192" s="15"/>
      <c r="P192" s="4" t="s">
        <v>55</v>
      </c>
      <c r="Q192" s="4">
        <v>0</v>
      </c>
      <c r="R192" t="s">
        <v>51</v>
      </c>
      <c r="S192">
        <v>1</v>
      </c>
      <c r="T192" t="s">
        <v>116</v>
      </c>
      <c r="U192" t="s">
        <v>118</v>
      </c>
      <c r="V192" t="s">
        <v>72</v>
      </c>
    </row>
    <row r="193" spans="1:24">
      <c r="A193">
        <v>192</v>
      </c>
      <c r="B193">
        <v>1</v>
      </c>
      <c r="C193" t="s">
        <v>111</v>
      </c>
      <c r="E193" s="2"/>
      <c r="F193" s="15"/>
      <c r="P193" s="4" t="s">
        <v>56</v>
      </c>
      <c r="Q193" s="4">
        <v>1</v>
      </c>
      <c r="R193" t="s">
        <v>52</v>
      </c>
      <c r="S193">
        <v>0</v>
      </c>
      <c r="T193" t="s">
        <v>113</v>
      </c>
      <c r="U193" t="s">
        <v>119</v>
      </c>
    </row>
    <row r="194" spans="1:24">
      <c r="A194">
        <v>193</v>
      </c>
      <c r="B194">
        <v>1</v>
      </c>
      <c r="C194" t="s">
        <v>111</v>
      </c>
      <c r="E194" s="2"/>
      <c r="F194" s="15"/>
      <c r="P194" s="4" t="s">
        <v>57</v>
      </c>
      <c r="Q194" s="4">
        <v>0</v>
      </c>
      <c r="R194" t="s">
        <v>53</v>
      </c>
      <c r="S194">
        <v>1</v>
      </c>
      <c r="T194" t="s">
        <v>115</v>
      </c>
    </row>
    <row r="195" spans="1:24">
      <c r="A195">
        <v>194</v>
      </c>
      <c r="B195">
        <v>1</v>
      </c>
      <c r="C195" t="s">
        <v>111</v>
      </c>
      <c r="E195" s="2"/>
      <c r="F195" s="15"/>
      <c r="P195" s="4" t="s">
        <v>58</v>
      </c>
      <c r="Q195" s="4">
        <v>0</v>
      </c>
      <c r="R195" t="s">
        <v>54</v>
      </c>
      <c r="S195">
        <v>0</v>
      </c>
    </row>
    <row r="196" spans="1:24">
      <c r="A196">
        <v>195</v>
      </c>
      <c r="B196">
        <v>1</v>
      </c>
      <c r="C196" t="s">
        <v>111</v>
      </c>
      <c r="E196" s="2"/>
      <c r="F196" s="15"/>
      <c r="P196" s="4" t="s">
        <v>59</v>
      </c>
      <c r="Q196" s="4">
        <v>0</v>
      </c>
    </row>
    <row r="197" spans="1:24">
      <c r="A197">
        <v>196</v>
      </c>
      <c r="E197" s="2"/>
      <c r="F197" s="15"/>
    </row>
    <row r="198" spans="1:24">
      <c r="A198">
        <v>197</v>
      </c>
      <c r="B198">
        <v>2</v>
      </c>
      <c r="C198" t="s">
        <v>111</v>
      </c>
      <c r="P198" s="4" t="s">
        <v>60</v>
      </c>
      <c r="Q198" s="4">
        <v>0</v>
      </c>
      <c r="R198" t="s">
        <v>50</v>
      </c>
      <c r="S198">
        <v>0</v>
      </c>
      <c r="T198" t="s">
        <v>117</v>
      </c>
      <c r="U198" t="s">
        <v>67</v>
      </c>
      <c r="V198" t="s">
        <v>72</v>
      </c>
      <c r="W198" t="s">
        <v>121</v>
      </c>
      <c r="X198">
        <v>24</v>
      </c>
    </row>
    <row r="199" spans="1:24">
      <c r="A199">
        <v>198</v>
      </c>
      <c r="B199">
        <v>2</v>
      </c>
      <c r="C199" t="s">
        <v>111</v>
      </c>
      <c r="P199" s="4" t="s">
        <v>55</v>
      </c>
      <c r="Q199" s="4">
        <v>1</v>
      </c>
      <c r="R199" t="s">
        <v>51</v>
      </c>
      <c r="S199">
        <v>1</v>
      </c>
      <c r="T199" t="s">
        <v>116</v>
      </c>
      <c r="U199" t="s">
        <v>118</v>
      </c>
      <c r="V199" t="s">
        <v>72</v>
      </c>
    </row>
    <row r="200" spans="1:24">
      <c r="A200">
        <v>199</v>
      </c>
      <c r="B200">
        <v>2</v>
      </c>
      <c r="C200" t="s">
        <v>111</v>
      </c>
      <c r="P200" s="4" t="s">
        <v>56</v>
      </c>
      <c r="Q200" s="4">
        <v>1</v>
      </c>
      <c r="R200" t="s">
        <v>52</v>
      </c>
      <c r="S200">
        <v>1</v>
      </c>
      <c r="T200" t="s">
        <v>113</v>
      </c>
      <c r="U200" t="s">
        <v>119</v>
      </c>
    </row>
    <row r="201" spans="1:24">
      <c r="A201">
        <v>200</v>
      </c>
      <c r="B201">
        <v>2</v>
      </c>
      <c r="C201" t="s">
        <v>111</v>
      </c>
      <c r="P201" s="4" t="s">
        <v>57</v>
      </c>
      <c r="Q201" s="4">
        <v>0</v>
      </c>
      <c r="R201" t="s">
        <v>53</v>
      </c>
      <c r="S201">
        <v>1</v>
      </c>
      <c r="T201" t="s">
        <v>115</v>
      </c>
    </row>
    <row r="202" spans="1:24">
      <c r="A202">
        <v>201</v>
      </c>
      <c r="B202">
        <v>2</v>
      </c>
      <c r="C202" t="s">
        <v>111</v>
      </c>
      <c r="P202" s="4" t="s">
        <v>58</v>
      </c>
      <c r="Q202" s="4">
        <v>0</v>
      </c>
      <c r="R202" t="s">
        <v>54</v>
      </c>
      <c r="S202">
        <v>0</v>
      </c>
    </row>
    <row r="203" spans="1:24">
      <c r="A203">
        <v>202</v>
      </c>
      <c r="B203">
        <v>2</v>
      </c>
      <c r="C203" t="s">
        <v>111</v>
      </c>
      <c r="P203" s="4" t="s">
        <v>59</v>
      </c>
      <c r="Q203" s="4">
        <v>0</v>
      </c>
    </row>
    <row r="204" spans="1:24">
      <c r="A204">
        <v>203</v>
      </c>
    </row>
    <row r="205" spans="1:24">
      <c r="A205">
        <v>204</v>
      </c>
      <c r="B205">
        <v>3</v>
      </c>
      <c r="C205" t="s">
        <v>111</v>
      </c>
      <c r="P205" s="4" t="s">
        <v>60</v>
      </c>
      <c r="Q205" s="4">
        <v>0</v>
      </c>
      <c r="R205" t="s">
        <v>50</v>
      </c>
      <c r="S205">
        <v>1</v>
      </c>
      <c r="T205" t="s">
        <v>123</v>
      </c>
      <c r="U205" t="s">
        <v>119</v>
      </c>
      <c r="V205" t="s">
        <v>125</v>
      </c>
      <c r="W205" t="s">
        <v>121</v>
      </c>
      <c r="X205">
        <v>24</v>
      </c>
    </row>
    <row r="206" spans="1:24">
      <c r="A206">
        <v>205</v>
      </c>
      <c r="B206">
        <v>3</v>
      </c>
      <c r="C206" t="s">
        <v>111</v>
      </c>
      <c r="P206" s="4" t="s">
        <v>55</v>
      </c>
      <c r="Q206" s="4">
        <v>1</v>
      </c>
      <c r="R206" t="s">
        <v>51</v>
      </c>
      <c r="S206">
        <v>0</v>
      </c>
      <c r="T206" t="s">
        <v>112</v>
      </c>
      <c r="U206" t="s">
        <v>67</v>
      </c>
      <c r="V206" t="s">
        <v>125</v>
      </c>
    </row>
    <row r="207" spans="1:24">
      <c r="A207">
        <v>206</v>
      </c>
      <c r="B207">
        <v>3</v>
      </c>
      <c r="C207" t="s">
        <v>111</v>
      </c>
      <c r="E207" s="2"/>
      <c r="F207" s="15"/>
      <c r="K207" s="3"/>
      <c r="P207" s="4" t="s">
        <v>56</v>
      </c>
      <c r="Q207" s="4">
        <v>1</v>
      </c>
      <c r="R207" t="s">
        <v>52</v>
      </c>
      <c r="S207">
        <v>1</v>
      </c>
      <c r="T207" t="s">
        <v>124</v>
      </c>
      <c r="U207" t="s">
        <v>118</v>
      </c>
    </row>
    <row r="208" spans="1:24">
      <c r="A208">
        <v>207</v>
      </c>
      <c r="B208">
        <v>3</v>
      </c>
      <c r="C208" t="s">
        <v>111</v>
      </c>
      <c r="E208" s="2"/>
      <c r="F208" s="15"/>
      <c r="P208" s="4" t="s">
        <v>57</v>
      </c>
      <c r="Q208" s="4">
        <v>0</v>
      </c>
      <c r="R208" t="s">
        <v>53</v>
      </c>
      <c r="S208">
        <v>1</v>
      </c>
      <c r="T208" t="s">
        <v>114</v>
      </c>
    </row>
    <row r="209" spans="1:22">
      <c r="A209">
        <v>208</v>
      </c>
      <c r="B209">
        <v>3</v>
      </c>
      <c r="C209" t="s">
        <v>111</v>
      </c>
      <c r="E209" s="2"/>
      <c r="F209" s="15"/>
      <c r="P209" s="4" t="s">
        <v>58</v>
      </c>
      <c r="Q209" s="4">
        <v>0</v>
      </c>
      <c r="R209" t="s">
        <v>54</v>
      </c>
      <c r="S209">
        <v>0</v>
      </c>
    </row>
    <row r="210" spans="1:22">
      <c r="A210">
        <v>209</v>
      </c>
      <c r="B210">
        <v>3</v>
      </c>
      <c r="C210" t="s">
        <v>111</v>
      </c>
      <c r="E210" s="2"/>
      <c r="F210" s="15"/>
      <c r="P210" s="4" t="s">
        <v>59</v>
      </c>
      <c r="Q210" s="4">
        <v>0</v>
      </c>
    </row>
    <row r="211" spans="1:22">
      <c r="A211">
        <v>210</v>
      </c>
      <c r="E211" s="2"/>
      <c r="F211" s="15"/>
    </row>
    <row r="212" spans="1:22">
      <c r="A212">
        <v>211</v>
      </c>
      <c r="B212">
        <v>1</v>
      </c>
      <c r="C212" t="s">
        <v>126</v>
      </c>
      <c r="E212" s="2" t="s">
        <v>20</v>
      </c>
      <c r="F212" s="15">
        <v>292.5</v>
      </c>
      <c r="G212" t="s">
        <v>20</v>
      </c>
      <c r="H212">
        <v>36</v>
      </c>
      <c r="I212" t="s">
        <v>20</v>
      </c>
      <c r="J212" t="s">
        <v>26</v>
      </c>
      <c r="K212" s="3" t="s">
        <v>101</v>
      </c>
      <c r="L212" t="s">
        <v>127</v>
      </c>
      <c r="N212">
        <v>15</v>
      </c>
      <c r="P212" s="4" t="s">
        <v>60</v>
      </c>
      <c r="Q212" s="4">
        <v>1</v>
      </c>
      <c r="R212" t="s">
        <v>50</v>
      </c>
      <c r="S212">
        <v>1</v>
      </c>
      <c r="U212" t="s">
        <v>128</v>
      </c>
      <c r="V212" t="s">
        <v>129</v>
      </c>
    </row>
    <row r="213" spans="1:22">
      <c r="A213">
        <v>212</v>
      </c>
      <c r="B213">
        <v>1</v>
      </c>
      <c r="C213" t="s">
        <v>126</v>
      </c>
      <c r="E213" s="2" t="s">
        <v>21</v>
      </c>
      <c r="F213" s="15">
        <v>297.5</v>
      </c>
      <c r="G213" t="s">
        <v>21</v>
      </c>
      <c r="H213">
        <v>198</v>
      </c>
      <c r="I213" t="s">
        <v>21</v>
      </c>
      <c r="J213" t="s">
        <v>27</v>
      </c>
      <c r="L213" t="s">
        <v>127</v>
      </c>
      <c r="P213" s="4" t="s">
        <v>55</v>
      </c>
      <c r="Q213" s="4">
        <v>0</v>
      </c>
      <c r="R213" t="s">
        <v>51</v>
      </c>
      <c r="S213">
        <v>0</v>
      </c>
      <c r="U213" t="s">
        <v>67</v>
      </c>
      <c r="V213" t="s">
        <v>125</v>
      </c>
    </row>
    <row r="214" spans="1:22">
      <c r="A214">
        <v>213</v>
      </c>
      <c r="B214">
        <v>1</v>
      </c>
      <c r="C214" t="s">
        <v>126</v>
      </c>
      <c r="E214" s="2" t="s">
        <v>24</v>
      </c>
      <c r="F214" s="15">
        <v>302.5</v>
      </c>
      <c r="G214" t="s">
        <v>22</v>
      </c>
      <c r="H214">
        <v>245</v>
      </c>
      <c r="I214" t="s">
        <v>22</v>
      </c>
      <c r="J214" t="s">
        <v>28</v>
      </c>
      <c r="L214" t="s">
        <v>127</v>
      </c>
      <c r="P214" s="4" t="s">
        <v>56</v>
      </c>
      <c r="Q214" s="4">
        <v>1</v>
      </c>
      <c r="R214" t="s">
        <v>52</v>
      </c>
      <c r="S214">
        <v>0</v>
      </c>
      <c r="U214" t="s">
        <v>67</v>
      </c>
    </row>
    <row r="215" spans="1:22">
      <c r="A215">
        <v>214</v>
      </c>
      <c r="B215">
        <v>1</v>
      </c>
      <c r="C215" t="s">
        <v>126</v>
      </c>
      <c r="E215" s="2" t="s">
        <v>25</v>
      </c>
      <c r="F215" s="15">
        <v>307.5</v>
      </c>
      <c r="G215" t="s">
        <v>23</v>
      </c>
      <c r="H215">
        <v>478</v>
      </c>
      <c r="I215" t="s">
        <v>23</v>
      </c>
      <c r="J215" t="s">
        <v>29</v>
      </c>
      <c r="L215" t="s">
        <v>127</v>
      </c>
      <c r="P215" s="4" t="s">
        <v>57</v>
      </c>
      <c r="Q215" s="4">
        <v>1</v>
      </c>
      <c r="R215" t="s">
        <v>53</v>
      </c>
      <c r="S215">
        <v>0</v>
      </c>
    </row>
    <row r="216" spans="1:22">
      <c r="A216">
        <v>215</v>
      </c>
      <c r="B216">
        <v>1</v>
      </c>
      <c r="C216" t="s">
        <v>126</v>
      </c>
      <c r="E216" s="2" t="s">
        <v>38</v>
      </c>
      <c r="F216" s="15">
        <v>292.5</v>
      </c>
      <c r="G216" t="s">
        <v>26</v>
      </c>
      <c r="H216">
        <v>36</v>
      </c>
      <c r="J216" t="s">
        <v>24</v>
      </c>
      <c r="P216" s="4" t="s">
        <v>58</v>
      </c>
      <c r="Q216" s="4">
        <v>0</v>
      </c>
      <c r="R216" t="s">
        <v>54</v>
      </c>
      <c r="S216">
        <v>0</v>
      </c>
    </row>
    <row r="217" spans="1:22">
      <c r="A217">
        <v>216</v>
      </c>
      <c r="B217">
        <v>1</v>
      </c>
      <c r="C217" t="s">
        <v>126</v>
      </c>
      <c r="E217" s="2" t="s">
        <v>39</v>
      </c>
      <c r="F217" s="15">
        <v>297.5</v>
      </c>
      <c r="G217" t="s">
        <v>27</v>
      </c>
      <c r="H217">
        <v>36</v>
      </c>
      <c r="J217" t="s">
        <v>25</v>
      </c>
      <c r="P217" s="4" t="s">
        <v>59</v>
      </c>
      <c r="Q217" s="4">
        <v>0</v>
      </c>
    </row>
    <row r="218" spans="1:22">
      <c r="A218">
        <v>217</v>
      </c>
      <c r="B218">
        <v>1</v>
      </c>
      <c r="C218" t="s">
        <v>126</v>
      </c>
      <c r="E218" s="2" t="s">
        <v>40</v>
      </c>
      <c r="F218" s="15">
        <v>302.5</v>
      </c>
      <c r="G218" t="s">
        <v>28</v>
      </c>
      <c r="H218">
        <v>36</v>
      </c>
      <c r="J218" t="s">
        <v>30</v>
      </c>
    </row>
    <row r="219" spans="1:22">
      <c r="A219">
        <v>218</v>
      </c>
      <c r="B219">
        <v>1</v>
      </c>
      <c r="C219" t="s">
        <v>126</v>
      </c>
      <c r="E219" s="2" t="s">
        <v>41</v>
      </c>
      <c r="F219" s="15">
        <v>307.5</v>
      </c>
      <c r="G219" t="s">
        <v>29</v>
      </c>
      <c r="H219">
        <v>36</v>
      </c>
      <c r="J219" t="s">
        <v>31</v>
      </c>
    </row>
    <row r="220" spans="1:22">
      <c r="A220">
        <v>219</v>
      </c>
      <c r="B220">
        <v>1</v>
      </c>
      <c r="C220" t="s">
        <v>126</v>
      </c>
      <c r="G220" t="s">
        <v>24</v>
      </c>
      <c r="H220">
        <v>36</v>
      </c>
    </row>
    <row r="221" spans="1:22">
      <c r="A221">
        <v>220</v>
      </c>
      <c r="B221">
        <v>1</v>
      </c>
      <c r="C221" t="s">
        <v>126</v>
      </c>
      <c r="G221" t="s">
        <v>25</v>
      </c>
      <c r="H221">
        <v>36</v>
      </c>
    </row>
    <row r="222" spans="1:22">
      <c r="A222">
        <v>221</v>
      </c>
      <c r="B222">
        <v>1</v>
      </c>
      <c r="C222" t="s">
        <v>126</v>
      </c>
      <c r="G222" t="s">
        <v>30</v>
      </c>
      <c r="H222">
        <v>36</v>
      </c>
    </row>
    <row r="223" spans="1:22">
      <c r="A223">
        <v>222</v>
      </c>
      <c r="B223">
        <v>1</v>
      </c>
      <c r="C223" t="s">
        <v>126</v>
      </c>
      <c r="G223" t="s">
        <v>31</v>
      </c>
      <c r="H223">
        <v>36</v>
      </c>
    </row>
    <row r="224" spans="1:22">
      <c r="A224">
        <v>223</v>
      </c>
      <c r="B224">
        <v>1</v>
      </c>
      <c r="C224" t="s">
        <v>126</v>
      </c>
      <c r="G224" t="s">
        <v>32</v>
      </c>
      <c r="H224">
        <v>36</v>
      </c>
    </row>
    <row r="225" spans="1:22">
      <c r="A225">
        <v>224</v>
      </c>
      <c r="B225">
        <v>1</v>
      </c>
      <c r="C225" t="s">
        <v>126</v>
      </c>
      <c r="G225" t="s">
        <v>33</v>
      </c>
      <c r="H225">
        <v>36</v>
      </c>
    </row>
    <row r="226" spans="1:22">
      <c r="A226">
        <v>225</v>
      </c>
      <c r="B226">
        <v>1</v>
      </c>
      <c r="C226" t="s">
        <v>126</v>
      </c>
      <c r="G226" t="s">
        <v>34</v>
      </c>
      <c r="H226">
        <v>36</v>
      </c>
    </row>
    <row r="227" spans="1:22">
      <c r="A227">
        <v>226</v>
      </c>
      <c r="B227">
        <v>1</v>
      </c>
      <c r="C227" t="s">
        <v>126</v>
      </c>
      <c r="G227" t="s">
        <v>35</v>
      </c>
      <c r="H227">
        <v>36</v>
      </c>
    </row>
    <row r="228" spans="1:22">
      <c r="A228">
        <v>227</v>
      </c>
      <c r="E228" s="2"/>
      <c r="F228" s="15"/>
    </row>
    <row r="229" spans="1:22">
      <c r="A229">
        <v>228</v>
      </c>
      <c r="B229">
        <v>2</v>
      </c>
      <c r="C229" t="s">
        <v>126</v>
      </c>
      <c r="E229" s="2" t="s">
        <v>20</v>
      </c>
      <c r="F229" s="15">
        <v>292.5</v>
      </c>
      <c r="G229" t="s">
        <v>20</v>
      </c>
      <c r="H229">
        <v>36</v>
      </c>
      <c r="I229" t="s">
        <v>20</v>
      </c>
      <c r="J229" t="s">
        <v>26</v>
      </c>
      <c r="K229" s="3" t="s">
        <v>101</v>
      </c>
      <c r="L229" t="s">
        <v>127</v>
      </c>
      <c r="N229">
        <v>15</v>
      </c>
      <c r="P229" s="4" t="s">
        <v>60</v>
      </c>
      <c r="Q229" s="4">
        <v>1</v>
      </c>
      <c r="R229" t="s">
        <v>50</v>
      </c>
      <c r="S229">
        <v>1</v>
      </c>
      <c r="U229" t="s">
        <v>128</v>
      </c>
      <c r="V229" t="s">
        <v>129</v>
      </c>
    </row>
    <row r="230" spans="1:22">
      <c r="A230">
        <v>229</v>
      </c>
      <c r="B230">
        <v>2</v>
      </c>
      <c r="C230" t="s">
        <v>126</v>
      </c>
      <c r="E230" s="2" t="s">
        <v>21</v>
      </c>
      <c r="F230" s="15">
        <v>297.5</v>
      </c>
      <c r="G230" t="s">
        <v>21</v>
      </c>
      <c r="H230">
        <v>484</v>
      </c>
      <c r="I230" t="s">
        <v>21</v>
      </c>
      <c r="J230" t="s">
        <v>27</v>
      </c>
      <c r="L230" t="s">
        <v>127</v>
      </c>
      <c r="P230" s="4" t="s">
        <v>55</v>
      </c>
      <c r="Q230" s="4">
        <v>0</v>
      </c>
      <c r="R230" t="s">
        <v>51</v>
      </c>
      <c r="S230">
        <v>0</v>
      </c>
      <c r="U230" t="s">
        <v>67</v>
      </c>
      <c r="V230" t="s">
        <v>125</v>
      </c>
    </row>
    <row r="231" spans="1:22">
      <c r="A231">
        <v>230</v>
      </c>
      <c r="B231">
        <v>2</v>
      </c>
      <c r="C231" t="s">
        <v>126</v>
      </c>
      <c r="E231" s="2" t="s">
        <v>24</v>
      </c>
      <c r="F231" s="15">
        <v>302.5</v>
      </c>
      <c r="G231" t="s">
        <v>22</v>
      </c>
      <c r="H231">
        <v>245</v>
      </c>
      <c r="I231" t="s">
        <v>22</v>
      </c>
      <c r="J231" t="s">
        <v>28</v>
      </c>
      <c r="L231" t="s">
        <v>127</v>
      </c>
      <c r="P231" s="4" t="s">
        <v>56</v>
      </c>
      <c r="Q231" s="4">
        <v>1</v>
      </c>
      <c r="R231" t="s">
        <v>52</v>
      </c>
      <c r="S231">
        <v>0</v>
      </c>
      <c r="U231" t="s">
        <v>67</v>
      </c>
    </row>
    <row r="232" spans="1:22">
      <c r="A232">
        <v>231</v>
      </c>
      <c r="B232">
        <v>2</v>
      </c>
      <c r="C232" t="s">
        <v>126</v>
      </c>
      <c r="E232" s="2" t="s">
        <v>25</v>
      </c>
      <c r="F232" s="15">
        <v>307.5</v>
      </c>
      <c r="G232" t="s">
        <v>23</v>
      </c>
      <c r="H232">
        <v>478</v>
      </c>
      <c r="I232" t="s">
        <v>23</v>
      </c>
      <c r="J232" t="s">
        <v>29</v>
      </c>
      <c r="L232" t="s">
        <v>127</v>
      </c>
      <c r="P232" s="4" t="s">
        <v>57</v>
      </c>
      <c r="Q232" s="4">
        <v>1</v>
      </c>
      <c r="R232" t="s">
        <v>53</v>
      </c>
      <c r="S232">
        <v>0</v>
      </c>
    </row>
    <row r="233" spans="1:22">
      <c r="A233">
        <v>232</v>
      </c>
      <c r="B233">
        <v>2</v>
      </c>
      <c r="C233" t="s">
        <v>126</v>
      </c>
      <c r="E233" s="2" t="s">
        <v>38</v>
      </c>
      <c r="F233" s="15">
        <v>292.5</v>
      </c>
      <c r="G233" t="s">
        <v>26</v>
      </c>
      <c r="H233">
        <v>36</v>
      </c>
      <c r="J233" t="s">
        <v>24</v>
      </c>
      <c r="P233" s="4" t="s">
        <v>58</v>
      </c>
      <c r="Q233" s="4">
        <v>0</v>
      </c>
      <c r="R233" t="s">
        <v>54</v>
      </c>
      <c r="S233">
        <v>0</v>
      </c>
    </row>
    <row r="234" spans="1:22">
      <c r="A234">
        <v>233</v>
      </c>
      <c r="B234">
        <v>2</v>
      </c>
      <c r="C234" t="s">
        <v>126</v>
      </c>
      <c r="E234" s="2" t="s">
        <v>39</v>
      </c>
      <c r="F234" s="15">
        <v>297.5</v>
      </c>
      <c r="G234" t="s">
        <v>27</v>
      </c>
      <c r="H234">
        <v>36</v>
      </c>
      <c r="J234" t="s">
        <v>25</v>
      </c>
      <c r="P234" s="4" t="s">
        <v>59</v>
      </c>
      <c r="Q234" s="4">
        <v>0</v>
      </c>
    </row>
    <row r="235" spans="1:22">
      <c r="A235">
        <v>234</v>
      </c>
      <c r="B235">
        <v>2</v>
      </c>
      <c r="C235" t="s">
        <v>126</v>
      </c>
      <c r="E235" s="2" t="s">
        <v>40</v>
      </c>
      <c r="F235" s="15">
        <v>302.5</v>
      </c>
      <c r="G235" t="s">
        <v>28</v>
      </c>
      <c r="H235">
        <v>36</v>
      </c>
      <c r="J235" t="s">
        <v>30</v>
      </c>
    </row>
    <row r="236" spans="1:22">
      <c r="A236">
        <v>235</v>
      </c>
      <c r="B236">
        <v>2</v>
      </c>
      <c r="C236" t="s">
        <v>126</v>
      </c>
      <c r="E236" s="2" t="s">
        <v>41</v>
      </c>
      <c r="F236" s="15">
        <v>307.5</v>
      </c>
      <c r="G236" t="s">
        <v>29</v>
      </c>
      <c r="H236">
        <v>36</v>
      </c>
      <c r="J236" t="s">
        <v>31</v>
      </c>
    </row>
    <row r="237" spans="1:22">
      <c r="A237">
        <v>236</v>
      </c>
      <c r="B237">
        <v>2</v>
      </c>
      <c r="C237" t="s">
        <v>126</v>
      </c>
      <c r="G237" t="s">
        <v>24</v>
      </c>
      <c r="H237">
        <v>36</v>
      </c>
    </row>
    <row r="238" spans="1:22">
      <c r="A238">
        <v>237</v>
      </c>
      <c r="B238">
        <v>2</v>
      </c>
      <c r="C238" t="s">
        <v>126</v>
      </c>
      <c r="G238" t="s">
        <v>25</v>
      </c>
      <c r="H238">
        <v>36</v>
      </c>
    </row>
    <row r="239" spans="1:22">
      <c r="A239">
        <v>238</v>
      </c>
      <c r="B239">
        <v>2</v>
      </c>
      <c r="C239" t="s">
        <v>126</v>
      </c>
      <c r="G239" t="s">
        <v>30</v>
      </c>
      <c r="H239">
        <v>36</v>
      </c>
    </row>
    <row r="240" spans="1:22">
      <c r="A240">
        <v>239</v>
      </c>
      <c r="B240">
        <v>2</v>
      </c>
      <c r="C240" t="s">
        <v>126</v>
      </c>
      <c r="G240" t="s">
        <v>31</v>
      </c>
      <c r="H240">
        <v>36</v>
      </c>
    </row>
    <row r="241" spans="1:22">
      <c r="A241">
        <v>240</v>
      </c>
      <c r="B241">
        <v>2</v>
      </c>
      <c r="C241" t="s">
        <v>126</v>
      </c>
      <c r="G241" t="s">
        <v>32</v>
      </c>
      <c r="H241">
        <v>36</v>
      </c>
    </row>
    <row r="242" spans="1:22">
      <c r="A242">
        <v>241</v>
      </c>
      <c r="B242">
        <v>2</v>
      </c>
      <c r="C242" t="s">
        <v>126</v>
      </c>
      <c r="G242" t="s">
        <v>33</v>
      </c>
      <c r="H242">
        <v>36</v>
      </c>
    </row>
    <row r="243" spans="1:22">
      <c r="A243">
        <v>242</v>
      </c>
      <c r="B243">
        <v>2</v>
      </c>
      <c r="C243" t="s">
        <v>126</v>
      </c>
      <c r="G243" t="s">
        <v>34</v>
      </c>
      <c r="H243">
        <v>36</v>
      </c>
    </row>
    <row r="244" spans="1:22">
      <c r="A244">
        <v>243</v>
      </c>
      <c r="B244">
        <v>2</v>
      </c>
      <c r="C244" t="s">
        <v>126</v>
      </c>
      <c r="G244" t="s">
        <v>35</v>
      </c>
      <c r="H244">
        <v>36</v>
      </c>
    </row>
    <row r="245" spans="1:22">
      <c r="A245">
        <v>244</v>
      </c>
      <c r="E245" s="2"/>
      <c r="F245" s="15"/>
    </row>
    <row r="246" spans="1:22">
      <c r="A246">
        <v>245</v>
      </c>
      <c r="B246">
        <v>3</v>
      </c>
      <c r="C246" t="s">
        <v>126</v>
      </c>
      <c r="E246" s="2" t="s">
        <v>20</v>
      </c>
      <c r="F246" s="15">
        <v>292.5</v>
      </c>
      <c r="G246" t="s">
        <v>20</v>
      </c>
      <c r="H246">
        <v>36</v>
      </c>
      <c r="I246" t="s">
        <v>20</v>
      </c>
      <c r="J246" t="s">
        <v>26</v>
      </c>
      <c r="K246" s="3" t="s">
        <v>101</v>
      </c>
      <c r="L246" t="s">
        <v>127</v>
      </c>
      <c r="N246">
        <v>15</v>
      </c>
      <c r="P246" s="4" t="s">
        <v>60</v>
      </c>
      <c r="Q246" s="4">
        <v>1</v>
      </c>
      <c r="R246" t="s">
        <v>50</v>
      </c>
      <c r="S246">
        <v>1</v>
      </c>
      <c r="U246" t="s">
        <v>128</v>
      </c>
      <c r="V246" t="s">
        <v>129</v>
      </c>
    </row>
    <row r="247" spans="1:22">
      <c r="A247">
        <v>246</v>
      </c>
      <c r="B247">
        <v>3</v>
      </c>
      <c r="C247" t="s">
        <v>126</v>
      </c>
      <c r="E247" s="2" t="s">
        <v>21</v>
      </c>
      <c r="F247" s="15">
        <v>297.5</v>
      </c>
      <c r="G247" t="s">
        <v>21</v>
      </c>
      <c r="H247">
        <v>288</v>
      </c>
      <c r="I247" t="s">
        <v>21</v>
      </c>
      <c r="J247" t="s">
        <v>27</v>
      </c>
      <c r="L247" t="s">
        <v>127</v>
      </c>
      <c r="P247" s="4" t="s">
        <v>55</v>
      </c>
      <c r="Q247" s="4">
        <v>0</v>
      </c>
      <c r="R247" t="s">
        <v>51</v>
      </c>
      <c r="S247">
        <v>0</v>
      </c>
      <c r="U247" t="s">
        <v>67</v>
      </c>
      <c r="V247" t="s">
        <v>125</v>
      </c>
    </row>
    <row r="248" spans="1:22">
      <c r="A248">
        <v>247</v>
      </c>
      <c r="B248">
        <v>3</v>
      </c>
      <c r="C248" t="s">
        <v>126</v>
      </c>
      <c r="E248" s="2" t="s">
        <v>24</v>
      </c>
      <c r="F248" s="15">
        <v>302.5</v>
      </c>
      <c r="G248" t="s">
        <v>22</v>
      </c>
      <c r="H248">
        <v>245</v>
      </c>
      <c r="I248" t="s">
        <v>22</v>
      </c>
      <c r="J248" t="s">
        <v>28</v>
      </c>
      <c r="L248" t="s">
        <v>127</v>
      </c>
      <c r="P248" s="4" t="s">
        <v>56</v>
      </c>
      <c r="Q248" s="4">
        <v>1</v>
      </c>
      <c r="R248" t="s">
        <v>52</v>
      </c>
      <c r="S248">
        <v>0</v>
      </c>
      <c r="U248" t="s">
        <v>67</v>
      </c>
    </row>
    <row r="249" spans="1:22">
      <c r="A249">
        <v>248</v>
      </c>
      <c r="B249">
        <v>3</v>
      </c>
      <c r="C249" t="s">
        <v>126</v>
      </c>
      <c r="E249" s="2" t="s">
        <v>25</v>
      </c>
      <c r="F249" s="15">
        <v>307.5</v>
      </c>
      <c r="G249" t="s">
        <v>23</v>
      </c>
      <c r="H249">
        <v>478</v>
      </c>
      <c r="I249" t="s">
        <v>23</v>
      </c>
      <c r="J249" t="s">
        <v>29</v>
      </c>
      <c r="L249" t="s">
        <v>127</v>
      </c>
      <c r="P249" s="4" t="s">
        <v>57</v>
      </c>
      <c r="Q249" s="4">
        <v>1</v>
      </c>
      <c r="R249" t="s">
        <v>53</v>
      </c>
      <c r="S249">
        <v>0</v>
      </c>
    </row>
    <row r="250" spans="1:22">
      <c r="A250">
        <v>249</v>
      </c>
      <c r="B250">
        <v>3</v>
      </c>
      <c r="C250" t="s">
        <v>126</v>
      </c>
      <c r="E250" s="2" t="s">
        <v>38</v>
      </c>
      <c r="F250" s="15">
        <v>292.5</v>
      </c>
      <c r="G250" t="s">
        <v>26</v>
      </c>
      <c r="H250">
        <v>36</v>
      </c>
      <c r="J250" t="s">
        <v>24</v>
      </c>
      <c r="P250" s="4" t="s">
        <v>58</v>
      </c>
      <c r="Q250" s="4">
        <v>0</v>
      </c>
      <c r="R250" t="s">
        <v>54</v>
      </c>
      <c r="S250">
        <v>0</v>
      </c>
    </row>
    <row r="251" spans="1:22">
      <c r="A251">
        <v>250</v>
      </c>
      <c r="B251">
        <v>3</v>
      </c>
      <c r="C251" t="s">
        <v>126</v>
      </c>
      <c r="E251" s="2" t="s">
        <v>39</v>
      </c>
      <c r="F251" s="15">
        <v>297.5</v>
      </c>
      <c r="G251" t="s">
        <v>27</v>
      </c>
      <c r="H251">
        <v>36</v>
      </c>
      <c r="J251" t="s">
        <v>25</v>
      </c>
      <c r="P251" s="4" t="s">
        <v>59</v>
      </c>
      <c r="Q251" s="4">
        <v>0</v>
      </c>
    </row>
    <row r="252" spans="1:22">
      <c r="A252">
        <v>251</v>
      </c>
      <c r="B252">
        <v>3</v>
      </c>
      <c r="C252" t="s">
        <v>126</v>
      </c>
      <c r="E252" s="2" t="s">
        <v>40</v>
      </c>
      <c r="F252" s="15">
        <v>302.5</v>
      </c>
      <c r="G252" t="s">
        <v>28</v>
      </c>
      <c r="H252">
        <v>36</v>
      </c>
      <c r="J252" t="s">
        <v>30</v>
      </c>
    </row>
    <row r="253" spans="1:22">
      <c r="A253">
        <v>252</v>
      </c>
      <c r="B253">
        <v>3</v>
      </c>
      <c r="C253" t="s">
        <v>126</v>
      </c>
      <c r="E253" s="2" t="s">
        <v>41</v>
      </c>
      <c r="F253" s="15">
        <v>307.5</v>
      </c>
      <c r="G253" t="s">
        <v>29</v>
      </c>
      <c r="H253">
        <v>36</v>
      </c>
      <c r="J253" t="s">
        <v>31</v>
      </c>
    </row>
    <row r="254" spans="1:22">
      <c r="A254">
        <v>253</v>
      </c>
      <c r="B254">
        <v>3</v>
      </c>
      <c r="C254" t="s">
        <v>126</v>
      </c>
      <c r="G254" t="s">
        <v>24</v>
      </c>
      <c r="H254">
        <v>36</v>
      </c>
    </row>
    <row r="255" spans="1:22">
      <c r="A255">
        <v>254</v>
      </c>
      <c r="B255">
        <v>3</v>
      </c>
      <c r="C255" t="s">
        <v>126</v>
      </c>
      <c r="G255" t="s">
        <v>25</v>
      </c>
      <c r="H255">
        <v>36</v>
      </c>
    </row>
    <row r="256" spans="1:22">
      <c r="A256">
        <v>255</v>
      </c>
      <c r="B256">
        <v>3</v>
      </c>
      <c r="C256" t="s">
        <v>126</v>
      </c>
      <c r="G256" t="s">
        <v>30</v>
      </c>
      <c r="H256">
        <v>36</v>
      </c>
    </row>
    <row r="257" spans="1:22">
      <c r="A257">
        <v>256</v>
      </c>
      <c r="B257">
        <v>3</v>
      </c>
      <c r="C257" t="s">
        <v>126</v>
      </c>
      <c r="G257" t="s">
        <v>31</v>
      </c>
      <c r="H257">
        <v>36</v>
      </c>
    </row>
    <row r="258" spans="1:22">
      <c r="A258">
        <v>257</v>
      </c>
      <c r="B258">
        <v>3</v>
      </c>
      <c r="C258" t="s">
        <v>126</v>
      </c>
      <c r="G258" t="s">
        <v>32</v>
      </c>
      <c r="H258">
        <v>36</v>
      </c>
    </row>
    <row r="259" spans="1:22">
      <c r="A259">
        <v>258</v>
      </c>
      <c r="B259">
        <v>3</v>
      </c>
      <c r="C259" t="s">
        <v>126</v>
      </c>
      <c r="G259" t="s">
        <v>33</v>
      </c>
      <c r="H259">
        <v>36</v>
      </c>
    </row>
    <row r="260" spans="1:22">
      <c r="A260">
        <v>259</v>
      </c>
      <c r="B260">
        <v>3</v>
      </c>
      <c r="C260" t="s">
        <v>126</v>
      </c>
      <c r="G260" t="s">
        <v>34</v>
      </c>
      <c r="H260">
        <v>36</v>
      </c>
    </row>
    <row r="261" spans="1:22">
      <c r="B261">
        <v>3</v>
      </c>
      <c r="C261" t="s">
        <v>126</v>
      </c>
      <c r="G261" t="s">
        <v>35</v>
      </c>
      <c r="H261">
        <v>36</v>
      </c>
    </row>
    <row r="262" spans="1:22">
      <c r="E262" s="2"/>
      <c r="F262" s="15"/>
    </row>
    <row r="263" spans="1:22">
      <c r="B263" s="16">
        <v>4</v>
      </c>
      <c r="C263" s="16" t="s">
        <v>126</v>
      </c>
      <c r="E263" s="2" t="s">
        <v>20</v>
      </c>
      <c r="F263" s="15">
        <v>292.5</v>
      </c>
      <c r="G263" t="s">
        <v>103</v>
      </c>
      <c r="H263">
        <v>36</v>
      </c>
      <c r="I263" t="s">
        <v>103</v>
      </c>
      <c r="J263" t="s">
        <v>38</v>
      </c>
      <c r="K263" s="3" t="s">
        <v>101</v>
      </c>
      <c r="L263" t="s">
        <v>127</v>
      </c>
      <c r="N263">
        <v>15</v>
      </c>
      <c r="P263" s="4" t="s">
        <v>60</v>
      </c>
      <c r="Q263" s="4">
        <v>1</v>
      </c>
      <c r="R263" t="s">
        <v>50</v>
      </c>
      <c r="S263">
        <v>0</v>
      </c>
      <c r="U263" t="s">
        <v>67</v>
      </c>
      <c r="V263" t="s">
        <v>130</v>
      </c>
    </row>
    <row r="264" spans="1:22">
      <c r="B264" s="16">
        <v>4</v>
      </c>
      <c r="C264" s="16" t="s">
        <v>126</v>
      </c>
      <c r="E264" s="2" t="s">
        <v>21</v>
      </c>
      <c r="F264" s="15">
        <v>297.5</v>
      </c>
      <c r="G264" t="s">
        <v>104</v>
      </c>
      <c r="H264">
        <v>198</v>
      </c>
      <c r="I264" t="s">
        <v>104</v>
      </c>
      <c r="J264" t="s">
        <v>39</v>
      </c>
      <c r="L264" t="s">
        <v>127</v>
      </c>
      <c r="P264" s="4" t="s">
        <v>55</v>
      </c>
      <c r="Q264" s="4">
        <v>0</v>
      </c>
      <c r="R264" t="s">
        <v>51</v>
      </c>
      <c r="S264">
        <v>0</v>
      </c>
      <c r="U264" t="s">
        <v>67</v>
      </c>
      <c r="V264" t="s">
        <v>125</v>
      </c>
    </row>
    <row r="265" spans="1:22">
      <c r="B265" s="16">
        <v>4</v>
      </c>
      <c r="C265" s="16" t="s">
        <v>126</v>
      </c>
      <c r="E265" s="2" t="s">
        <v>24</v>
      </c>
      <c r="F265" s="15">
        <v>302.5</v>
      </c>
      <c r="G265" t="s">
        <v>105</v>
      </c>
      <c r="H265">
        <v>245</v>
      </c>
      <c r="I265" t="s">
        <v>105</v>
      </c>
      <c r="J265" t="s">
        <v>91</v>
      </c>
      <c r="L265" t="s">
        <v>127</v>
      </c>
      <c r="P265" s="4" t="s">
        <v>56</v>
      </c>
      <c r="Q265" s="4">
        <v>1</v>
      </c>
      <c r="R265" t="s">
        <v>52</v>
      </c>
      <c r="S265">
        <v>1</v>
      </c>
      <c r="U265" t="s">
        <v>128</v>
      </c>
    </row>
    <row r="266" spans="1:22">
      <c r="B266" s="16">
        <v>4</v>
      </c>
      <c r="C266" s="16" t="s">
        <v>126</v>
      </c>
      <c r="E266" s="2" t="s">
        <v>25</v>
      </c>
      <c r="F266" s="15">
        <v>307.5</v>
      </c>
      <c r="G266" t="s">
        <v>106</v>
      </c>
      <c r="H266">
        <v>478</v>
      </c>
      <c r="I266" t="s">
        <v>106</v>
      </c>
      <c r="J266" t="s">
        <v>92</v>
      </c>
      <c r="L266" t="s">
        <v>127</v>
      </c>
      <c r="P266" s="4" t="s">
        <v>57</v>
      </c>
      <c r="Q266" s="4">
        <v>0</v>
      </c>
      <c r="R266" t="s">
        <v>53</v>
      </c>
      <c r="S266">
        <v>0</v>
      </c>
    </row>
    <row r="267" spans="1:22">
      <c r="B267" s="16">
        <v>4</v>
      </c>
      <c r="C267" s="16" t="s">
        <v>126</v>
      </c>
      <c r="E267" s="2" t="s">
        <v>38</v>
      </c>
      <c r="F267" s="15">
        <v>292.5</v>
      </c>
      <c r="G267" t="s">
        <v>38</v>
      </c>
      <c r="H267">
        <v>36</v>
      </c>
      <c r="J267" t="s">
        <v>20</v>
      </c>
      <c r="P267" s="4" t="s">
        <v>58</v>
      </c>
      <c r="Q267" s="4">
        <v>0</v>
      </c>
      <c r="R267" t="s">
        <v>54</v>
      </c>
      <c r="S267">
        <v>0</v>
      </c>
    </row>
    <row r="268" spans="1:22">
      <c r="B268" s="16">
        <v>4</v>
      </c>
      <c r="C268" s="16" t="s">
        <v>126</v>
      </c>
      <c r="E268" s="2" t="s">
        <v>39</v>
      </c>
      <c r="F268" s="15">
        <v>297.5</v>
      </c>
      <c r="G268" t="s">
        <v>39</v>
      </c>
      <c r="H268">
        <v>36</v>
      </c>
      <c r="J268" t="s">
        <v>21</v>
      </c>
      <c r="P268" s="4" t="s">
        <v>59</v>
      </c>
      <c r="Q268" s="4">
        <v>1</v>
      </c>
    </row>
    <row r="269" spans="1:22">
      <c r="B269" s="16">
        <v>4</v>
      </c>
      <c r="C269" s="16" t="s">
        <v>126</v>
      </c>
      <c r="E269" s="2" t="s">
        <v>40</v>
      </c>
      <c r="F269" s="15">
        <v>302.5</v>
      </c>
      <c r="G269" t="s">
        <v>91</v>
      </c>
      <c r="H269">
        <v>36</v>
      </c>
      <c r="J269" t="s">
        <v>22</v>
      </c>
    </row>
    <row r="270" spans="1:22">
      <c r="B270" s="16">
        <v>4</v>
      </c>
      <c r="C270" s="16" t="s">
        <v>126</v>
      </c>
      <c r="E270" s="2" t="s">
        <v>41</v>
      </c>
      <c r="F270" s="15" t="s">
        <v>100</v>
      </c>
      <c r="G270" t="s">
        <v>92</v>
      </c>
      <c r="H270">
        <v>36</v>
      </c>
      <c r="J270" t="s">
        <v>23</v>
      </c>
    </row>
    <row r="271" spans="1:22">
      <c r="B271" s="16">
        <v>4</v>
      </c>
      <c r="C271" s="16" t="s">
        <v>126</v>
      </c>
      <c r="G271" t="s">
        <v>20</v>
      </c>
      <c r="H271">
        <v>36</v>
      </c>
    </row>
    <row r="272" spans="1:22">
      <c r="B272" s="16">
        <v>4</v>
      </c>
      <c r="C272" s="16" t="s">
        <v>126</v>
      </c>
      <c r="G272" t="s">
        <v>21</v>
      </c>
      <c r="H272">
        <v>36</v>
      </c>
    </row>
    <row r="273" spans="2:22">
      <c r="B273" s="16">
        <v>4</v>
      </c>
      <c r="C273" s="16" t="s">
        <v>126</v>
      </c>
      <c r="G273" t="s">
        <v>22</v>
      </c>
      <c r="H273">
        <v>36</v>
      </c>
    </row>
    <row r="274" spans="2:22">
      <c r="B274" s="16">
        <v>4</v>
      </c>
      <c r="C274" s="16" t="s">
        <v>126</v>
      </c>
      <c r="G274" t="s">
        <v>23</v>
      </c>
      <c r="H274">
        <v>36</v>
      </c>
    </row>
    <row r="275" spans="2:22">
      <c r="B275" s="16">
        <v>4</v>
      </c>
      <c r="C275" s="16" t="s">
        <v>126</v>
      </c>
      <c r="G275" t="s">
        <v>26</v>
      </c>
      <c r="H275">
        <v>36</v>
      </c>
    </row>
    <row r="276" spans="2:22">
      <c r="B276" s="16">
        <v>4</v>
      </c>
      <c r="C276" s="16" t="s">
        <v>126</v>
      </c>
      <c r="G276" t="s">
        <v>27</v>
      </c>
      <c r="H276">
        <v>36</v>
      </c>
    </row>
    <row r="277" spans="2:22">
      <c r="B277" s="16">
        <v>4</v>
      </c>
      <c r="C277" s="16" t="s">
        <v>126</v>
      </c>
      <c r="G277" t="s">
        <v>28</v>
      </c>
      <c r="H277">
        <v>36</v>
      </c>
    </row>
    <row r="278" spans="2:22">
      <c r="B278" s="16">
        <v>4</v>
      </c>
      <c r="C278" s="16" t="s">
        <v>126</v>
      </c>
      <c r="G278" t="s">
        <v>29</v>
      </c>
      <c r="H278">
        <v>36</v>
      </c>
    </row>
    <row r="279" spans="2:22">
      <c r="E279" s="2"/>
      <c r="F279" s="15"/>
    </row>
    <row r="280" spans="2:22">
      <c r="B280">
        <v>1</v>
      </c>
      <c r="C280" t="s">
        <v>126</v>
      </c>
      <c r="E280" s="2" t="s">
        <v>20</v>
      </c>
      <c r="F280" s="15">
        <v>292.5</v>
      </c>
      <c r="G280" t="s">
        <v>20</v>
      </c>
      <c r="H280">
        <v>36</v>
      </c>
      <c r="I280" t="s">
        <v>20</v>
      </c>
      <c r="J280" t="s">
        <v>26</v>
      </c>
      <c r="K280" s="3" t="s">
        <v>101</v>
      </c>
      <c r="L280" t="s">
        <v>127</v>
      </c>
      <c r="N280">
        <v>15</v>
      </c>
      <c r="P280" s="4" t="s">
        <v>60</v>
      </c>
      <c r="Q280" s="4">
        <v>1</v>
      </c>
      <c r="R280" t="s">
        <v>50</v>
      </c>
      <c r="S280">
        <v>1</v>
      </c>
      <c r="U280" t="s">
        <v>128</v>
      </c>
      <c r="V280" t="s">
        <v>129</v>
      </c>
    </row>
    <row r="281" spans="2:22">
      <c r="B281">
        <v>1</v>
      </c>
      <c r="C281" t="s">
        <v>126</v>
      </c>
      <c r="E281" s="2" t="s">
        <v>21</v>
      </c>
      <c r="F281" s="15">
        <v>297.5</v>
      </c>
      <c r="G281" t="s">
        <v>21</v>
      </c>
      <c r="H281">
        <v>198</v>
      </c>
      <c r="I281" t="s">
        <v>21</v>
      </c>
      <c r="J281" t="s">
        <v>27</v>
      </c>
      <c r="L281" t="s">
        <v>127</v>
      </c>
      <c r="P281" s="4" t="s">
        <v>55</v>
      </c>
      <c r="Q281" s="4">
        <v>0</v>
      </c>
      <c r="R281" t="s">
        <v>51</v>
      </c>
      <c r="S281">
        <v>0</v>
      </c>
      <c r="U281" t="s">
        <v>67</v>
      </c>
      <c r="V281" t="s">
        <v>125</v>
      </c>
    </row>
    <row r="282" spans="2:22">
      <c r="B282">
        <v>1</v>
      </c>
      <c r="C282" t="s">
        <v>126</v>
      </c>
      <c r="E282" s="2" t="s">
        <v>24</v>
      </c>
      <c r="F282" s="15">
        <v>302.5</v>
      </c>
      <c r="G282" t="s">
        <v>22</v>
      </c>
      <c r="H282">
        <v>245</v>
      </c>
      <c r="I282" t="s">
        <v>22</v>
      </c>
      <c r="J282" t="s">
        <v>28</v>
      </c>
      <c r="L282" t="s">
        <v>127</v>
      </c>
      <c r="P282" s="4" t="s">
        <v>56</v>
      </c>
      <c r="Q282" s="4">
        <v>1</v>
      </c>
      <c r="R282" t="s">
        <v>52</v>
      </c>
      <c r="S282">
        <v>0</v>
      </c>
      <c r="U282" t="s">
        <v>67</v>
      </c>
    </row>
    <row r="283" spans="2:22">
      <c r="B283">
        <v>1</v>
      </c>
      <c r="C283" t="s">
        <v>126</v>
      </c>
      <c r="E283" s="2" t="s">
        <v>25</v>
      </c>
      <c r="F283" s="15">
        <v>307.5</v>
      </c>
      <c r="G283" t="s">
        <v>23</v>
      </c>
      <c r="H283">
        <v>478</v>
      </c>
      <c r="I283" t="s">
        <v>23</v>
      </c>
      <c r="J283" t="s">
        <v>29</v>
      </c>
      <c r="L283" t="s">
        <v>127</v>
      </c>
      <c r="P283" s="4" t="s">
        <v>57</v>
      </c>
      <c r="Q283" s="4">
        <v>1</v>
      </c>
      <c r="R283" t="s">
        <v>53</v>
      </c>
      <c r="S283">
        <v>0</v>
      </c>
    </row>
    <row r="284" spans="2:22">
      <c r="B284">
        <v>1</v>
      </c>
      <c r="C284" t="s">
        <v>126</v>
      </c>
      <c r="E284" s="2" t="s">
        <v>38</v>
      </c>
      <c r="F284" s="15">
        <v>292.5</v>
      </c>
      <c r="G284" t="s">
        <v>26</v>
      </c>
      <c r="H284">
        <v>36</v>
      </c>
      <c r="J284" t="s">
        <v>24</v>
      </c>
      <c r="P284" s="4" t="s">
        <v>58</v>
      </c>
      <c r="Q284" s="4">
        <v>0</v>
      </c>
      <c r="R284" t="s">
        <v>54</v>
      </c>
      <c r="S284">
        <v>0</v>
      </c>
    </row>
    <row r="285" spans="2:22">
      <c r="B285">
        <v>1</v>
      </c>
      <c r="C285" t="s">
        <v>126</v>
      </c>
      <c r="E285" s="2" t="s">
        <v>39</v>
      </c>
      <c r="F285" s="15">
        <v>297.5</v>
      </c>
      <c r="G285" t="s">
        <v>27</v>
      </c>
      <c r="H285">
        <v>36</v>
      </c>
      <c r="J285" t="s">
        <v>25</v>
      </c>
      <c r="P285" s="4" t="s">
        <v>59</v>
      </c>
      <c r="Q285" s="4">
        <v>0</v>
      </c>
    </row>
    <row r="286" spans="2:22">
      <c r="B286">
        <v>1</v>
      </c>
      <c r="C286" t="s">
        <v>126</v>
      </c>
      <c r="E286" s="2" t="s">
        <v>40</v>
      </c>
      <c r="F286" s="15">
        <v>302.5</v>
      </c>
      <c r="G286" t="s">
        <v>28</v>
      </c>
      <c r="H286">
        <v>36</v>
      </c>
      <c r="J286" t="s">
        <v>30</v>
      </c>
    </row>
    <row r="287" spans="2:22">
      <c r="B287">
        <v>1</v>
      </c>
      <c r="C287" t="s">
        <v>126</v>
      </c>
      <c r="E287" s="2" t="s">
        <v>41</v>
      </c>
      <c r="F287" s="15">
        <v>307.5</v>
      </c>
      <c r="G287" t="s">
        <v>29</v>
      </c>
      <c r="H287">
        <v>36</v>
      </c>
      <c r="J287" t="s">
        <v>31</v>
      </c>
    </row>
    <row r="288" spans="2:22">
      <c r="B288">
        <v>1</v>
      </c>
      <c r="C288" t="s">
        <v>126</v>
      </c>
      <c r="G288" t="s">
        <v>24</v>
      </c>
      <c r="H288">
        <v>36</v>
      </c>
    </row>
    <row r="289" spans="2:22">
      <c r="B289">
        <v>1</v>
      </c>
      <c r="C289" t="s">
        <v>126</v>
      </c>
      <c r="G289" t="s">
        <v>25</v>
      </c>
      <c r="H289">
        <v>36</v>
      </c>
    </row>
    <row r="290" spans="2:22">
      <c r="B290">
        <v>1</v>
      </c>
      <c r="C290" t="s">
        <v>126</v>
      </c>
      <c r="G290" t="s">
        <v>30</v>
      </c>
      <c r="H290">
        <v>36</v>
      </c>
    </row>
    <row r="291" spans="2:22">
      <c r="B291">
        <v>1</v>
      </c>
      <c r="C291" t="s">
        <v>126</v>
      </c>
      <c r="G291" t="s">
        <v>31</v>
      </c>
      <c r="H291">
        <v>36</v>
      </c>
    </row>
    <row r="292" spans="2:22">
      <c r="B292">
        <v>1</v>
      </c>
      <c r="C292" t="s">
        <v>126</v>
      </c>
      <c r="G292" t="s">
        <v>32</v>
      </c>
      <c r="H292">
        <v>36</v>
      </c>
    </row>
    <row r="293" spans="2:22">
      <c r="B293">
        <v>1</v>
      </c>
      <c r="C293" t="s">
        <v>126</v>
      </c>
      <c r="G293" t="s">
        <v>33</v>
      </c>
      <c r="H293">
        <v>36</v>
      </c>
    </row>
    <row r="294" spans="2:22">
      <c r="B294">
        <v>1</v>
      </c>
      <c r="C294" t="s">
        <v>126</v>
      </c>
      <c r="G294" t="s">
        <v>34</v>
      </c>
      <c r="H294">
        <v>36</v>
      </c>
    </row>
    <row r="295" spans="2:22">
      <c r="B295">
        <v>1</v>
      </c>
      <c r="C295" t="s">
        <v>126</v>
      </c>
      <c r="G295" t="s">
        <v>35</v>
      </c>
      <c r="H295">
        <v>36</v>
      </c>
    </row>
    <row r="296" spans="2:22">
      <c r="E296" s="2"/>
      <c r="F296" s="15"/>
    </row>
    <row r="297" spans="2:22">
      <c r="B297">
        <v>1</v>
      </c>
      <c r="C297" t="s">
        <v>126</v>
      </c>
      <c r="E297" s="2" t="s">
        <v>20</v>
      </c>
      <c r="F297" s="15">
        <v>292.5</v>
      </c>
      <c r="G297" t="s">
        <v>20</v>
      </c>
      <c r="H297">
        <v>36</v>
      </c>
      <c r="I297" t="s">
        <v>20</v>
      </c>
      <c r="J297" t="s">
        <v>26</v>
      </c>
      <c r="K297" s="3" t="s">
        <v>101</v>
      </c>
      <c r="L297" t="s">
        <v>127</v>
      </c>
      <c r="N297">
        <v>15</v>
      </c>
      <c r="P297" s="4" t="s">
        <v>60</v>
      </c>
      <c r="Q297" s="4">
        <v>1</v>
      </c>
      <c r="R297" t="s">
        <v>50</v>
      </c>
      <c r="S297">
        <v>1</v>
      </c>
      <c r="U297" t="s">
        <v>128</v>
      </c>
      <c r="V297" t="s">
        <v>129</v>
      </c>
    </row>
    <row r="298" spans="2:22">
      <c r="B298">
        <v>1</v>
      </c>
      <c r="C298" t="s">
        <v>126</v>
      </c>
      <c r="E298" s="2" t="s">
        <v>21</v>
      </c>
      <c r="F298" s="15">
        <v>297.5</v>
      </c>
      <c r="G298" t="s">
        <v>21</v>
      </c>
      <c r="H298">
        <v>198</v>
      </c>
      <c r="I298" t="s">
        <v>21</v>
      </c>
      <c r="J298" t="s">
        <v>27</v>
      </c>
      <c r="L298" t="s">
        <v>127</v>
      </c>
      <c r="P298" s="4" t="s">
        <v>55</v>
      </c>
      <c r="Q298" s="4">
        <v>0</v>
      </c>
      <c r="R298" t="s">
        <v>51</v>
      </c>
      <c r="S298">
        <v>0</v>
      </c>
      <c r="U298" t="s">
        <v>67</v>
      </c>
      <c r="V298" t="s">
        <v>125</v>
      </c>
    </row>
    <row r="299" spans="2:22">
      <c r="B299">
        <v>1</v>
      </c>
      <c r="C299" t="s">
        <v>126</v>
      </c>
      <c r="E299" s="2" t="s">
        <v>24</v>
      </c>
      <c r="F299" s="15">
        <v>302.5</v>
      </c>
      <c r="G299" t="s">
        <v>22</v>
      </c>
      <c r="H299">
        <v>245</v>
      </c>
      <c r="I299" t="s">
        <v>22</v>
      </c>
      <c r="J299" t="s">
        <v>28</v>
      </c>
      <c r="L299" t="s">
        <v>127</v>
      </c>
      <c r="P299" s="4" t="s">
        <v>56</v>
      </c>
      <c r="Q299" s="4">
        <v>1</v>
      </c>
      <c r="R299" t="s">
        <v>52</v>
      </c>
      <c r="S299">
        <v>0</v>
      </c>
      <c r="U299" t="s">
        <v>67</v>
      </c>
    </row>
    <row r="300" spans="2:22">
      <c r="B300">
        <v>1</v>
      </c>
      <c r="C300" t="s">
        <v>126</v>
      </c>
      <c r="E300" s="2" t="s">
        <v>25</v>
      </c>
      <c r="F300" s="15">
        <v>307.5</v>
      </c>
      <c r="G300" t="s">
        <v>23</v>
      </c>
      <c r="H300">
        <v>478</v>
      </c>
      <c r="I300" t="s">
        <v>23</v>
      </c>
      <c r="J300" t="s">
        <v>29</v>
      </c>
      <c r="L300" t="s">
        <v>127</v>
      </c>
      <c r="P300" s="4" t="s">
        <v>57</v>
      </c>
      <c r="Q300" s="4">
        <v>1</v>
      </c>
      <c r="R300" t="s">
        <v>53</v>
      </c>
      <c r="S300">
        <v>0</v>
      </c>
    </row>
    <row r="301" spans="2:22">
      <c r="B301">
        <v>1</v>
      </c>
      <c r="C301" t="s">
        <v>126</v>
      </c>
      <c r="E301" s="2" t="s">
        <v>38</v>
      </c>
      <c r="F301" s="15">
        <v>292.5</v>
      </c>
      <c r="G301" t="s">
        <v>26</v>
      </c>
      <c r="H301">
        <v>36</v>
      </c>
      <c r="J301" t="s">
        <v>24</v>
      </c>
      <c r="P301" s="4" t="s">
        <v>58</v>
      </c>
      <c r="Q301" s="4">
        <v>0</v>
      </c>
      <c r="R301" t="s">
        <v>54</v>
      </c>
      <c r="S301">
        <v>0</v>
      </c>
    </row>
    <row r="302" spans="2:22">
      <c r="B302">
        <v>1</v>
      </c>
      <c r="C302" t="s">
        <v>126</v>
      </c>
      <c r="E302" s="2" t="s">
        <v>39</v>
      </c>
      <c r="F302" s="15">
        <v>297.5</v>
      </c>
      <c r="G302" t="s">
        <v>27</v>
      </c>
      <c r="H302">
        <v>36</v>
      </c>
      <c r="J302" t="s">
        <v>25</v>
      </c>
      <c r="P302" s="4" t="s">
        <v>59</v>
      </c>
      <c r="Q302" s="4">
        <v>0</v>
      </c>
    </row>
    <row r="303" spans="2:22">
      <c r="B303">
        <v>1</v>
      </c>
      <c r="C303" t="s">
        <v>126</v>
      </c>
      <c r="E303" s="2" t="s">
        <v>40</v>
      </c>
      <c r="F303" s="15">
        <v>302.5</v>
      </c>
      <c r="G303" t="s">
        <v>28</v>
      </c>
      <c r="H303">
        <v>36</v>
      </c>
      <c r="J303" t="s">
        <v>30</v>
      </c>
    </row>
    <row r="304" spans="2:22">
      <c r="B304">
        <v>1</v>
      </c>
      <c r="C304" t="s">
        <v>126</v>
      </c>
      <c r="E304" s="2" t="s">
        <v>41</v>
      </c>
      <c r="F304" s="15">
        <v>307.5</v>
      </c>
      <c r="G304" t="s">
        <v>29</v>
      </c>
      <c r="H304">
        <v>36</v>
      </c>
      <c r="J304" t="s">
        <v>31</v>
      </c>
    </row>
    <row r="305" spans="2:8">
      <c r="B305">
        <v>1</v>
      </c>
      <c r="C305" t="s">
        <v>126</v>
      </c>
      <c r="G305" t="s">
        <v>24</v>
      </c>
      <c r="H305">
        <v>36</v>
      </c>
    </row>
    <row r="306" spans="2:8">
      <c r="B306">
        <v>1</v>
      </c>
      <c r="C306" t="s">
        <v>126</v>
      </c>
      <c r="G306" t="s">
        <v>25</v>
      </c>
      <c r="H306">
        <v>36</v>
      </c>
    </row>
    <row r="307" spans="2:8">
      <c r="B307">
        <v>1</v>
      </c>
      <c r="C307" t="s">
        <v>126</v>
      </c>
      <c r="G307" t="s">
        <v>30</v>
      </c>
      <c r="H307">
        <v>36</v>
      </c>
    </row>
    <row r="308" spans="2:8">
      <c r="B308">
        <v>1</v>
      </c>
      <c r="C308" t="s">
        <v>126</v>
      </c>
      <c r="G308" t="s">
        <v>31</v>
      </c>
      <c r="H308">
        <v>36</v>
      </c>
    </row>
    <row r="309" spans="2:8">
      <c r="B309">
        <v>1</v>
      </c>
      <c r="C309" t="s">
        <v>126</v>
      </c>
      <c r="G309" t="s">
        <v>32</v>
      </c>
      <c r="H309">
        <v>36</v>
      </c>
    </row>
    <row r="310" spans="2:8">
      <c r="B310">
        <v>1</v>
      </c>
      <c r="C310" t="s">
        <v>126</v>
      </c>
      <c r="G310" t="s">
        <v>33</v>
      </c>
      <c r="H310">
        <v>36</v>
      </c>
    </row>
    <row r="311" spans="2:8">
      <c r="B311">
        <v>1</v>
      </c>
      <c r="C311" t="s">
        <v>126</v>
      </c>
      <c r="G311" t="s">
        <v>34</v>
      </c>
      <c r="H311">
        <v>36</v>
      </c>
    </row>
    <row r="312" spans="2:8">
      <c r="B312">
        <v>1</v>
      </c>
      <c r="C312" t="s">
        <v>126</v>
      </c>
      <c r="G312" t="s">
        <v>35</v>
      </c>
      <c r="H312">
        <v>36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7"/>
  <sheetViews>
    <sheetView topLeftCell="O1" workbookViewId="0">
      <selection activeCell="R2" sqref="R2:T5"/>
    </sheetView>
  </sheetViews>
  <sheetFormatPr defaultRowHeight="15"/>
  <cols>
    <col min="1" max="1" width="4.85546875" bestFit="1" customWidth="1"/>
    <col min="3" max="3" width="23" bestFit="1" customWidth="1"/>
    <col min="4" max="4" width="29.42578125" bestFit="1" customWidth="1"/>
    <col min="5" max="5" width="31.5703125" customWidth="1"/>
    <col min="6" max="6" width="37.85546875" customWidth="1"/>
    <col min="7" max="7" width="29.28515625" customWidth="1"/>
    <col min="8" max="8" width="24.42578125" bestFit="1" customWidth="1"/>
    <col min="9" max="9" width="25" customWidth="1"/>
    <col min="10" max="10" width="20.7109375" customWidth="1"/>
    <col min="11" max="11" width="30.7109375" customWidth="1"/>
    <col min="12" max="12" width="19" customWidth="1"/>
    <col min="13" max="13" width="26.42578125" customWidth="1"/>
    <col min="14" max="14" width="38.28515625" style="4" customWidth="1"/>
    <col min="15" max="15" width="31" style="4" customWidth="1"/>
    <col min="16" max="16" width="24.85546875" bestFit="1" customWidth="1"/>
    <col min="17" max="17" width="45.140625" customWidth="1"/>
    <col min="18" max="18" width="40" customWidth="1"/>
    <col min="19" max="19" width="40.28515625" customWidth="1"/>
    <col min="20" max="20" width="20.28515625" customWidth="1"/>
  </cols>
  <sheetData>
    <row r="1" spans="1:20">
      <c r="A1" t="s">
        <v>37</v>
      </c>
      <c r="B1" t="s">
        <v>18</v>
      </c>
      <c r="C1" s="5" t="s">
        <v>73</v>
      </c>
      <c r="D1" s="5" t="s">
        <v>74</v>
      </c>
      <c r="E1" s="7" t="s">
        <v>75</v>
      </c>
      <c r="F1" s="7" t="s">
        <v>76</v>
      </c>
      <c r="G1" s="8" t="s">
        <v>77</v>
      </c>
      <c r="H1" s="8" t="s">
        <v>78</v>
      </c>
      <c r="I1" s="9" t="s">
        <v>79</v>
      </c>
      <c r="J1" s="6" t="s">
        <v>80</v>
      </c>
      <c r="K1" s="10" t="s">
        <v>81</v>
      </c>
      <c r="L1" t="s">
        <v>82</v>
      </c>
      <c r="M1" t="s">
        <v>83</v>
      </c>
      <c r="N1" s="11" t="s">
        <v>46</v>
      </c>
      <c r="O1" s="11" t="s">
        <v>47</v>
      </c>
      <c r="P1" s="13" t="s">
        <v>48</v>
      </c>
      <c r="Q1" s="13" t="s">
        <v>49</v>
      </c>
      <c r="R1" s="12" t="s">
        <v>61</v>
      </c>
      <c r="S1" s="14" t="s">
        <v>66</v>
      </c>
      <c r="T1" s="11" t="s">
        <v>70</v>
      </c>
    </row>
    <row r="2" spans="1:20" ht="26.25" customHeight="1">
      <c r="A2">
        <v>1</v>
      </c>
      <c r="B2">
        <v>1</v>
      </c>
      <c r="C2" s="2" t="s">
        <v>20</v>
      </c>
      <c r="D2" s="2" t="s">
        <v>12</v>
      </c>
      <c r="E2" t="s">
        <v>20</v>
      </c>
      <c r="F2">
        <v>36</v>
      </c>
      <c r="G2" t="s">
        <v>20</v>
      </c>
      <c r="H2" t="s">
        <v>24</v>
      </c>
      <c r="I2" s="3" t="s">
        <v>36</v>
      </c>
      <c r="J2" t="s">
        <v>42</v>
      </c>
      <c r="K2">
        <v>36</v>
      </c>
      <c r="N2" s="4" t="s">
        <v>60</v>
      </c>
      <c r="O2" s="4">
        <v>0</v>
      </c>
      <c r="P2" t="s">
        <v>50</v>
      </c>
      <c r="Q2">
        <v>0</v>
      </c>
      <c r="R2" t="s">
        <v>65</v>
      </c>
      <c r="S2" t="s">
        <v>67</v>
      </c>
      <c r="T2" t="s">
        <v>71</v>
      </c>
    </row>
    <row r="3" spans="1:20">
      <c r="A3">
        <v>2</v>
      </c>
      <c r="B3">
        <v>1</v>
      </c>
      <c r="C3" s="2" t="s">
        <v>21</v>
      </c>
      <c r="D3" t="s">
        <v>13</v>
      </c>
      <c r="E3" t="s">
        <v>21</v>
      </c>
      <c r="F3">
        <v>36</v>
      </c>
      <c r="G3" t="s">
        <v>21</v>
      </c>
      <c r="H3" t="s">
        <v>25</v>
      </c>
      <c r="J3" t="s">
        <v>43</v>
      </c>
      <c r="K3">
        <v>36</v>
      </c>
      <c r="N3" s="4" t="s">
        <v>55</v>
      </c>
      <c r="O3" s="4">
        <v>0</v>
      </c>
      <c r="P3" t="s">
        <v>51</v>
      </c>
      <c r="Q3">
        <v>0</v>
      </c>
      <c r="R3" t="s">
        <v>62</v>
      </c>
      <c r="S3" t="s">
        <v>68</v>
      </c>
      <c r="T3" t="s">
        <v>72</v>
      </c>
    </row>
    <row r="4" spans="1:20">
      <c r="A4">
        <v>3</v>
      </c>
      <c r="B4">
        <v>1</v>
      </c>
      <c r="C4" s="2" t="s">
        <v>24</v>
      </c>
      <c r="D4" s="2" t="s">
        <v>14</v>
      </c>
      <c r="E4" t="s">
        <v>22</v>
      </c>
      <c r="F4">
        <v>36</v>
      </c>
      <c r="G4" t="s">
        <v>22</v>
      </c>
      <c r="H4" t="s">
        <v>30</v>
      </c>
      <c r="J4" t="s">
        <v>44</v>
      </c>
      <c r="K4">
        <v>36</v>
      </c>
      <c r="N4" s="4" t="s">
        <v>56</v>
      </c>
      <c r="O4" s="4">
        <v>1</v>
      </c>
      <c r="P4" t="s">
        <v>52</v>
      </c>
      <c r="Q4">
        <v>0</v>
      </c>
      <c r="R4" t="s">
        <v>63</v>
      </c>
      <c r="S4" t="s">
        <v>69</v>
      </c>
    </row>
    <row r="5" spans="1:20">
      <c r="A5">
        <v>4</v>
      </c>
      <c r="B5">
        <v>1</v>
      </c>
      <c r="C5" s="2" t="s">
        <v>25</v>
      </c>
      <c r="D5" t="s">
        <v>15</v>
      </c>
      <c r="E5" t="s">
        <v>23</v>
      </c>
      <c r="F5">
        <v>36</v>
      </c>
      <c r="G5" t="s">
        <v>23</v>
      </c>
      <c r="H5" t="s">
        <v>31</v>
      </c>
      <c r="J5" t="s">
        <v>45</v>
      </c>
      <c r="K5">
        <v>36</v>
      </c>
      <c r="N5" s="4" t="s">
        <v>57</v>
      </c>
      <c r="O5" s="4">
        <v>1</v>
      </c>
      <c r="P5" t="s">
        <v>53</v>
      </c>
      <c r="Q5">
        <v>1</v>
      </c>
      <c r="R5" t="s">
        <v>64</v>
      </c>
    </row>
    <row r="6" spans="1:20">
      <c r="A6">
        <v>5</v>
      </c>
      <c r="B6">
        <v>1</v>
      </c>
      <c r="C6" s="2" t="s">
        <v>38</v>
      </c>
      <c r="D6" s="2" t="s">
        <v>12</v>
      </c>
      <c r="E6" t="s">
        <v>26</v>
      </c>
      <c r="F6">
        <v>36</v>
      </c>
      <c r="H6" t="s">
        <v>32</v>
      </c>
      <c r="N6" s="4" t="s">
        <v>58</v>
      </c>
      <c r="O6" s="4">
        <v>0</v>
      </c>
      <c r="P6" t="s">
        <v>54</v>
      </c>
      <c r="Q6">
        <v>0</v>
      </c>
    </row>
    <row r="7" spans="1:20">
      <c r="A7">
        <v>6</v>
      </c>
      <c r="B7">
        <v>1</v>
      </c>
      <c r="C7" s="2" t="s">
        <v>39</v>
      </c>
      <c r="D7" t="s">
        <v>13</v>
      </c>
      <c r="E7" t="s">
        <v>27</v>
      </c>
      <c r="F7">
        <v>36</v>
      </c>
      <c r="H7" t="s">
        <v>33</v>
      </c>
      <c r="N7" s="4" t="s">
        <v>59</v>
      </c>
      <c r="O7" s="4">
        <v>0</v>
      </c>
    </row>
    <row r="8" spans="1:20">
      <c r="A8">
        <v>7</v>
      </c>
      <c r="B8">
        <v>1</v>
      </c>
      <c r="C8" s="2" t="s">
        <v>40</v>
      </c>
      <c r="D8" s="2" t="s">
        <v>14</v>
      </c>
      <c r="E8" t="s">
        <v>28</v>
      </c>
      <c r="F8">
        <v>36</v>
      </c>
      <c r="H8" t="s">
        <v>34</v>
      </c>
    </row>
    <row r="9" spans="1:20">
      <c r="A9">
        <v>8</v>
      </c>
      <c r="B9">
        <v>1</v>
      </c>
      <c r="C9" s="2" t="s">
        <v>41</v>
      </c>
      <c r="D9" t="s">
        <v>15</v>
      </c>
      <c r="E9" t="s">
        <v>29</v>
      </c>
      <c r="F9">
        <v>36</v>
      </c>
      <c r="H9" t="s">
        <v>35</v>
      </c>
    </row>
    <row r="10" spans="1:20">
      <c r="A10">
        <v>9</v>
      </c>
      <c r="B10">
        <v>1</v>
      </c>
      <c r="E10" t="s">
        <v>24</v>
      </c>
      <c r="F10">
        <v>36</v>
      </c>
    </row>
    <row r="11" spans="1:20">
      <c r="A11">
        <v>10</v>
      </c>
      <c r="B11">
        <v>1</v>
      </c>
      <c r="E11" t="s">
        <v>25</v>
      </c>
      <c r="F11">
        <v>36</v>
      </c>
    </row>
    <row r="12" spans="1:20">
      <c r="A12">
        <v>11</v>
      </c>
      <c r="B12">
        <v>1</v>
      </c>
      <c r="E12" t="s">
        <v>30</v>
      </c>
      <c r="F12">
        <v>36</v>
      </c>
    </row>
    <row r="13" spans="1:20">
      <c r="A13">
        <v>12</v>
      </c>
      <c r="B13">
        <v>1</v>
      </c>
      <c r="E13" t="s">
        <v>31</v>
      </c>
      <c r="F13">
        <v>36</v>
      </c>
    </row>
    <row r="14" spans="1:20">
      <c r="A14">
        <v>13</v>
      </c>
      <c r="B14">
        <v>1</v>
      </c>
      <c r="E14" t="s">
        <v>32</v>
      </c>
      <c r="F14">
        <v>36</v>
      </c>
    </row>
    <row r="15" spans="1:20">
      <c r="A15">
        <v>14</v>
      </c>
      <c r="B15">
        <v>1</v>
      </c>
      <c r="E15" t="s">
        <v>33</v>
      </c>
      <c r="F15">
        <v>36</v>
      </c>
    </row>
    <row r="16" spans="1:20">
      <c r="A16">
        <v>15</v>
      </c>
      <c r="B16">
        <v>1</v>
      </c>
      <c r="E16" t="s">
        <v>34</v>
      </c>
      <c r="F16">
        <v>36</v>
      </c>
    </row>
    <row r="17" spans="1:6">
      <c r="A17">
        <v>16</v>
      </c>
      <c r="B17">
        <v>1</v>
      </c>
      <c r="E17" t="s">
        <v>35</v>
      </c>
      <c r="F17">
        <v>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RT_ADDRESS</vt:lpstr>
      <vt:lpstr>CH_NCO1</vt:lpstr>
      <vt:lpstr>CFG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dev3</dc:creator>
  <cp:lastModifiedBy>keysight</cp:lastModifiedBy>
  <dcterms:created xsi:type="dcterms:W3CDTF">2025-06-10T03:57:01Z</dcterms:created>
  <dcterms:modified xsi:type="dcterms:W3CDTF">2025-06-20T03:33:50Z</dcterms:modified>
</cp:coreProperties>
</file>