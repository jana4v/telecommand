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L94" i="1" l="1"/>
  <c r="O94" i="1" s="1"/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P39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4" i="1"/>
  <c r="E9" i="1"/>
  <c r="E10" i="1"/>
  <c r="E11" i="1"/>
  <c r="E12" i="1"/>
  <c r="E13" i="1"/>
  <c r="E14" i="1"/>
  <c r="E15" i="1"/>
  <c r="E16" i="1"/>
  <c r="E17" i="1"/>
  <c r="P40" i="1" s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5" i="1"/>
  <c r="E6" i="1"/>
  <c r="E7" i="1"/>
  <c r="E8" i="1"/>
  <c r="K94" i="1" l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D104" i="1"/>
  <c r="D105" i="1"/>
  <c r="D106" i="1"/>
  <c r="K4" i="1"/>
  <c r="K5" i="1"/>
  <c r="K6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4" i="1"/>
</calcChain>
</file>

<file path=xl/sharedStrings.xml><?xml version="1.0" encoding="utf-8"?>
<sst xmlns="http://schemas.openxmlformats.org/spreadsheetml/2006/main" count="30" uniqueCount="24">
  <si>
    <t xml:space="preserve">Interface Format </t>
  </si>
  <si>
    <t>In sub channel 4</t>
  </si>
  <si>
    <t>NC</t>
  </si>
  <si>
    <t>15 downto 8</t>
  </si>
  <si>
    <t>8 bits</t>
  </si>
  <si>
    <t>2 bits</t>
  </si>
  <si>
    <t>7 downto 6</t>
  </si>
  <si>
    <t>mesh link UW selection (40,41,42,43)</t>
  </si>
  <si>
    <t>5 downto 4</t>
  </si>
  <si>
    <t xml:space="preserve">forward/mesh link data channel selection </t>
  </si>
  <si>
    <t>3 downto 2</t>
  </si>
  <si>
    <t>1 downto 0</t>
  </si>
  <si>
    <t>Forward link channel 1 NCO selection</t>
  </si>
  <si>
    <t>Forward link channel 2 NCO selection</t>
  </si>
  <si>
    <t>Total 21 bits</t>
  </si>
  <si>
    <t>count value</t>
  </si>
  <si>
    <t>count value for mesh NCO calculation</t>
  </si>
  <si>
    <t>NCO Freq (KHz)</t>
  </si>
  <si>
    <t>BW after insertion in forward link (MHz)</t>
  </si>
  <si>
    <t>Let frequency Offset in return link in KHz</t>
  </si>
  <si>
    <t>1 bit</t>
  </si>
  <si>
    <t>19 downto 16</t>
  </si>
  <si>
    <t>4 bits</t>
  </si>
  <si>
    <t xml:space="preserve">sub channel number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</si>
</sst>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W107"/>
  <sheetViews>
    <sheetView tabSelected="1" topLeftCell="A70" workbookViewId="0">
      <selection activeCell="L4" sqref="L4:L107"/>
    </sheetView>
  </sheetViews>
  <sheetFormatPr defaultRowHeight="15" x14ac:dyDescent="0.25"/>
  <cols>
    <col min="3" max="3" width="10.5" style="1" bestFit="1" customWidth="1"/>
    <col min="4" max="4" width="15.125" bestFit="1" customWidth="1"/>
    <col min="5" max="5" width="33.875" style="1" bestFit="1" customWidth="1"/>
    <col min="10" max="10" width="9" style="1"/>
    <col min="11" max="11" width="14.75" bestFit="1" customWidth="1"/>
    <col min="12" max="12" width="9" style="1"/>
    <col min="16" max="16" width="12" bestFit="1" customWidth="1"/>
    <col min="22" max="22" width="14.625" customWidth="1"/>
  </cols>
  <sheetData>
    <row r="3" spans="3:23" x14ac:dyDescent="0.25">
      <c r="C3" s="1" t="s">
        <v>15</v>
      </c>
      <c r="D3" t="s">
        <v>17</v>
      </c>
      <c r="E3" s="1" t="s">
        <v>18</v>
      </c>
      <c r="J3" s="1" t="s">
        <v>15</v>
      </c>
      <c r="K3" t="s">
        <v>17</v>
      </c>
      <c r="L3" s="1" t="s">
        <v>18</v>
      </c>
    </row>
    <row r="4" spans="3:23" x14ac:dyDescent="0.25">
      <c r="C4" s="1">
        <v>1</v>
      </c>
      <c r="D4">
        <f t="shared" ref="D4:D35" si="0">10.15625*(104-C4)</f>
        <v>1046.09375</v>
      </c>
      <c r="E4" s="1">
        <f>($N$8-D4)/1000</f>
        <v>-1.04609375</v>
      </c>
      <c r="J4" s="1">
        <v>104</v>
      </c>
      <c r="K4">
        <f t="shared" ref="K4:K35" si="1">10.15625*(104-J4)</f>
        <v>0</v>
      </c>
      <c r="L4" s="1">
        <f>($N$8-K4)/1000</f>
        <v>0</v>
      </c>
      <c r="V4" t="s">
        <v>0</v>
      </c>
      <c r="W4" t="s">
        <v>1</v>
      </c>
    </row>
    <row r="5" spans="3:23" x14ac:dyDescent="0.25">
      <c r="C5" s="1">
        <v>2</v>
      </c>
      <c r="D5">
        <f t="shared" si="0"/>
        <v>1035.9375</v>
      </c>
      <c r="E5" s="1">
        <f t="shared" ref="E5:E68" si="2">($N$8-D5)/1000</f>
        <v>-1.0359375</v>
      </c>
      <c r="J5" s="1">
        <v>105</v>
      </c>
      <c r="K5">
        <f t="shared" si="1"/>
        <v>-10.15625</v>
      </c>
      <c r="L5" s="1">
        <f t="shared" ref="L5:L68" si="3">($N$8-K5)/1000</f>
        <v>1.015625E-2</v>
      </c>
      <c r="U5" t="s">
        <v>14</v>
      </c>
    </row>
    <row r="6" spans="3:23" x14ac:dyDescent="0.25">
      <c r="C6" s="1">
        <v>3</v>
      </c>
      <c r="D6">
        <f t="shared" si="0"/>
        <v>1025.78125</v>
      </c>
      <c r="E6" s="1">
        <f t="shared" si="2"/>
        <v>-1.0257812500000001</v>
      </c>
      <c r="J6" s="1">
        <v>106</v>
      </c>
      <c r="K6">
        <f t="shared" si="1"/>
        <v>-20.3125</v>
      </c>
      <c r="L6" s="1">
        <f t="shared" si="3"/>
        <v>2.0312500000000001E-2</v>
      </c>
      <c r="U6" t="s">
        <v>20</v>
      </c>
      <c r="V6">
        <v>20</v>
      </c>
      <c r="W6" t="s">
        <v>2</v>
      </c>
    </row>
    <row r="7" spans="3:23" x14ac:dyDescent="0.25">
      <c r="C7" s="1">
        <v>4</v>
      </c>
      <c r="D7">
        <f t="shared" si="0"/>
        <v>1015.625</v>
      </c>
      <c r="E7" s="1">
        <f t="shared" si="2"/>
        <v>-1.015625</v>
      </c>
      <c r="J7" s="1">
        <v>107</v>
      </c>
      <c r="K7">
        <f t="shared" si="1"/>
        <v>-30.46875</v>
      </c>
      <c r="L7" s="1">
        <f t="shared" si="3"/>
        <v>3.0468749999999999E-2</v>
      </c>
      <c r="N7" t="s">
        <v>19</v>
      </c>
      <c r="U7" t="s">
        <v>22</v>
      </c>
      <c r="V7" t="s">
        <v>21</v>
      </c>
      <c r="W7" t="s">
        <v>23</v>
      </c>
    </row>
    <row r="8" spans="3:23" x14ac:dyDescent="0.25">
      <c r="C8" s="1">
        <v>5</v>
      </c>
      <c r="D8">
        <f t="shared" si="0"/>
        <v>1005.46875</v>
      </c>
      <c r="E8" s="1">
        <f t="shared" si="2"/>
        <v>-1.0054687499999999</v>
      </c>
      <c r="J8" s="1">
        <v>108</v>
      </c>
      <c r="K8">
        <f t="shared" si="1"/>
        <v>-40.625</v>
      </c>
      <c r="L8" s="1">
        <f t="shared" si="3"/>
        <v>4.0625000000000001E-2</v>
      </c>
      <c r="N8">
        <v>0</v>
      </c>
      <c r="U8" t="s">
        <v>4</v>
      </c>
      <c r="V8" t="s">
        <v>3</v>
      </c>
      <c r="W8" t="s">
        <v>16</v>
      </c>
    </row>
    <row r="9" spans="3:23" x14ac:dyDescent="0.25">
      <c r="C9" s="1">
        <v>6</v>
      </c>
      <c r="D9">
        <f t="shared" si="0"/>
        <v>995.3125</v>
      </c>
      <c r="E9" s="1">
        <f t="shared" si="2"/>
        <v>-0.99531250000000004</v>
      </c>
      <c r="J9" s="1">
        <v>109</v>
      </c>
      <c r="K9">
        <f t="shared" si="1"/>
        <v>-50.78125</v>
      </c>
      <c r="L9" s="1">
        <f t="shared" si="3"/>
        <v>5.078125E-2</v>
      </c>
      <c r="U9" t="s">
        <v>5</v>
      </c>
      <c r="V9" t="s">
        <v>6</v>
      </c>
      <c r="W9" t="s">
        <v>7</v>
      </c>
    </row>
    <row r="10" spans="3:23" x14ac:dyDescent="0.25">
      <c r="C10" s="1">
        <v>7</v>
      </c>
      <c r="D10">
        <f t="shared" si="0"/>
        <v>985.15625</v>
      </c>
      <c r="E10" s="1">
        <f t="shared" si="2"/>
        <v>-0.98515624999999996</v>
      </c>
      <c r="J10" s="1">
        <v>110</v>
      </c>
      <c r="K10">
        <f t="shared" si="1"/>
        <v>-60.9375</v>
      </c>
      <c r="L10" s="1">
        <f t="shared" si="3"/>
        <v>6.0937499999999999E-2</v>
      </c>
      <c r="U10" t="s">
        <v>5</v>
      </c>
      <c r="V10" t="s">
        <v>8</v>
      </c>
      <c r="W10" t="s">
        <v>9</v>
      </c>
    </row>
    <row r="11" spans="3:23" x14ac:dyDescent="0.25">
      <c r="C11" s="1">
        <v>8</v>
      </c>
      <c r="D11">
        <f t="shared" si="0"/>
        <v>975</v>
      </c>
      <c r="E11" s="1">
        <f t="shared" si="2"/>
        <v>-0.97499999999999998</v>
      </c>
      <c r="J11" s="1">
        <v>111</v>
      </c>
      <c r="K11">
        <f t="shared" si="1"/>
        <v>-71.09375</v>
      </c>
      <c r="L11" s="1">
        <f t="shared" si="3"/>
        <v>7.1093749999999997E-2</v>
      </c>
      <c r="U11" t="s">
        <v>5</v>
      </c>
      <c r="V11" t="s">
        <v>10</v>
      </c>
      <c r="W11" t="s">
        <v>12</v>
      </c>
    </row>
    <row r="12" spans="3:23" x14ac:dyDescent="0.25">
      <c r="C12" s="1">
        <v>9</v>
      </c>
      <c r="D12">
        <f t="shared" si="0"/>
        <v>964.84375</v>
      </c>
      <c r="E12" s="1">
        <f t="shared" si="2"/>
        <v>-0.96484375</v>
      </c>
      <c r="J12" s="1">
        <v>112</v>
      </c>
      <c r="K12">
        <f t="shared" si="1"/>
        <v>-81.25</v>
      </c>
      <c r="L12" s="1">
        <f t="shared" si="3"/>
        <v>8.1250000000000003E-2</v>
      </c>
      <c r="U12" t="s">
        <v>5</v>
      </c>
      <c r="V12" t="s">
        <v>11</v>
      </c>
      <c r="W12" t="s">
        <v>13</v>
      </c>
    </row>
    <row r="13" spans="3:23" x14ac:dyDescent="0.25">
      <c r="C13" s="1">
        <v>10</v>
      </c>
      <c r="D13">
        <f t="shared" si="0"/>
        <v>954.6875</v>
      </c>
      <c r="E13" s="1">
        <f t="shared" si="2"/>
        <v>-0.95468750000000002</v>
      </c>
      <c r="J13" s="1">
        <v>113</v>
      </c>
      <c r="K13">
        <f t="shared" si="1"/>
        <v>-91.40625</v>
      </c>
      <c r="L13" s="1">
        <f t="shared" si="3"/>
        <v>9.1406249999999994E-2</v>
      </c>
    </row>
    <row r="14" spans="3:23" x14ac:dyDescent="0.25">
      <c r="C14" s="1">
        <v>11</v>
      </c>
      <c r="D14">
        <f t="shared" si="0"/>
        <v>944.53125</v>
      </c>
      <c r="E14" s="1">
        <f t="shared" si="2"/>
        <v>-0.94453125000000004</v>
      </c>
      <c r="J14" s="1">
        <v>114</v>
      </c>
      <c r="K14">
        <f t="shared" si="1"/>
        <v>-101.5625</v>
      </c>
      <c r="L14" s="1">
        <f t="shared" si="3"/>
        <v>0.1015625</v>
      </c>
    </row>
    <row r="15" spans="3:23" x14ac:dyDescent="0.25">
      <c r="C15" s="1">
        <v>12</v>
      </c>
      <c r="D15">
        <f t="shared" si="0"/>
        <v>934.375</v>
      </c>
      <c r="E15" s="1">
        <f t="shared" si="2"/>
        <v>-0.93437499999999996</v>
      </c>
      <c r="J15" s="1">
        <v>115</v>
      </c>
      <c r="K15">
        <f t="shared" si="1"/>
        <v>-111.71875</v>
      </c>
      <c r="L15" s="1">
        <f t="shared" si="3"/>
        <v>0.11171875000000001</v>
      </c>
    </row>
    <row r="16" spans="3:23" x14ac:dyDescent="0.25">
      <c r="C16" s="1">
        <v>13</v>
      </c>
      <c r="D16">
        <f t="shared" si="0"/>
        <v>924.21875</v>
      </c>
      <c r="E16" s="1">
        <f t="shared" si="2"/>
        <v>-0.92421874999999998</v>
      </c>
      <c r="J16" s="1">
        <v>116</v>
      </c>
      <c r="K16">
        <f t="shared" si="1"/>
        <v>-121.875</v>
      </c>
      <c r="L16" s="1">
        <f t="shared" si="3"/>
        <v>0.121875</v>
      </c>
    </row>
    <row r="17" spans="3:12" x14ac:dyDescent="0.25">
      <c r="C17" s="1">
        <v>14</v>
      </c>
      <c r="D17">
        <f t="shared" si="0"/>
        <v>914.0625</v>
      </c>
      <c r="E17" s="1">
        <f t="shared" si="2"/>
        <v>-0.9140625</v>
      </c>
      <c r="J17" s="1">
        <v>117</v>
      </c>
      <c r="K17">
        <f t="shared" si="1"/>
        <v>-132.03125</v>
      </c>
      <c r="L17" s="1">
        <f t="shared" si="3"/>
        <v>0.13203124999999999</v>
      </c>
    </row>
    <row r="18" spans="3:12" x14ac:dyDescent="0.25">
      <c r="C18" s="1">
        <v>15</v>
      </c>
      <c r="D18">
        <f t="shared" si="0"/>
        <v>903.90625</v>
      </c>
      <c r="E18" s="1">
        <f t="shared" si="2"/>
        <v>-0.90390625000000002</v>
      </c>
      <c r="J18" s="1">
        <v>118</v>
      </c>
      <c r="K18">
        <f t="shared" si="1"/>
        <v>-142.1875</v>
      </c>
      <c r="L18" s="1">
        <f t="shared" si="3"/>
        <v>0.14218749999999999</v>
      </c>
    </row>
    <row r="19" spans="3:12" x14ac:dyDescent="0.25">
      <c r="C19" s="1">
        <v>16</v>
      </c>
      <c r="D19">
        <f t="shared" si="0"/>
        <v>893.75</v>
      </c>
      <c r="E19" s="1">
        <f t="shared" si="2"/>
        <v>-0.89375000000000004</v>
      </c>
      <c r="J19" s="1">
        <v>119</v>
      </c>
      <c r="K19">
        <f t="shared" si="1"/>
        <v>-152.34375</v>
      </c>
      <c r="L19" s="1">
        <f t="shared" si="3"/>
        <v>0.15234375</v>
      </c>
    </row>
    <row r="20" spans="3:12" x14ac:dyDescent="0.25">
      <c r="C20" s="1">
        <v>17</v>
      </c>
      <c r="D20">
        <f t="shared" si="0"/>
        <v>883.59375</v>
      </c>
      <c r="E20" s="1">
        <f t="shared" si="2"/>
        <v>-0.88359374999999996</v>
      </c>
      <c r="J20" s="1">
        <v>120</v>
      </c>
      <c r="K20">
        <f t="shared" si="1"/>
        <v>-162.5</v>
      </c>
      <c r="L20" s="1">
        <f t="shared" si="3"/>
        <v>0.16250000000000001</v>
      </c>
    </row>
    <row r="21" spans="3:12" x14ac:dyDescent="0.25">
      <c r="C21" s="1">
        <v>18</v>
      </c>
      <c r="D21">
        <f t="shared" si="0"/>
        <v>873.4375</v>
      </c>
      <c r="E21" s="1">
        <f t="shared" si="2"/>
        <v>-0.87343749999999998</v>
      </c>
      <c r="J21" s="1">
        <v>121</v>
      </c>
      <c r="K21">
        <f t="shared" si="1"/>
        <v>-172.65625</v>
      </c>
      <c r="L21" s="1">
        <f t="shared" si="3"/>
        <v>0.17265625000000001</v>
      </c>
    </row>
    <row r="22" spans="3:12" x14ac:dyDescent="0.25">
      <c r="C22" s="1">
        <v>19</v>
      </c>
      <c r="D22">
        <f t="shared" si="0"/>
        <v>863.28125</v>
      </c>
      <c r="E22" s="1">
        <f t="shared" si="2"/>
        <v>-0.86328125</v>
      </c>
      <c r="J22" s="1">
        <v>122</v>
      </c>
      <c r="K22">
        <f t="shared" si="1"/>
        <v>-182.8125</v>
      </c>
      <c r="L22" s="1">
        <f t="shared" si="3"/>
        <v>0.18281249999999999</v>
      </c>
    </row>
    <row r="23" spans="3:12" x14ac:dyDescent="0.25">
      <c r="C23" s="1">
        <v>20</v>
      </c>
      <c r="D23">
        <f t="shared" si="0"/>
        <v>853.125</v>
      </c>
      <c r="E23" s="1">
        <f t="shared" si="2"/>
        <v>-0.85312500000000002</v>
      </c>
      <c r="J23" s="1">
        <v>123</v>
      </c>
      <c r="K23">
        <f t="shared" si="1"/>
        <v>-192.96875</v>
      </c>
      <c r="L23" s="1">
        <f t="shared" si="3"/>
        <v>0.19296874999999999</v>
      </c>
    </row>
    <row r="24" spans="3:12" x14ac:dyDescent="0.25">
      <c r="C24" s="1">
        <v>21</v>
      </c>
      <c r="D24">
        <f t="shared" si="0"/>
        <v>842.96875</v>
      </c>
      <c r="E24" s="1">
        <f t="shared" si="2"/>
        <v>-0.84296875000000004</v>
      </c>
      <c r="J24" s="1">
        <v>124</v>
      </c>
      <c r="K24">
        <f t="shared" si="1"/>
        <v>-203.125</v>
      </c>
      <c r="L24" s="1">
        <f t="shared" si="3"/>
        <v>0.203125</v>
      </c>
    </row>
    <row r="25" spans="3:12" x14ac:dyDescent="0.25">
      <c r="C25" s="1">
        <v>22</v>
      </c>
      <c r="D25">
        <f t="shared" si="0"/>
        <v>832.8125</v>
      </c>
      <c r="E25" s="1">
        <f t="shared" si="2"/>
        <v>-0.83281249999999996</v>
      </c>
      <c r="J25" s="1">
        <v>125</v>
      </c>
      <c r="K25">
        <f t="shared" si="1"/>
        <v>-213.28125</v>
      </c>
      <c r="L25" s="1">
        <f t="shared" si="3"/>
        <v>0.21328125000000001</v>
      </c>
    </row>
    <row r="26" spans="3:12" x14ac:dyDescent="0.25">
      <c r="C26" s="1">
        <v>23</v>
      </c>
      <c r="D26">
        <f t="shared" si="0"/>
        <v>822.65625</v>
      </c>
      <c r="E26" s="1">
        <f t="shared" si="2"/>
        <v>-0.82265624999999998</v>
      </c>
      <c r="J26" s="1">
        <v>126</v>
      </c>
      <c r="K26">
        <f t="shared" si="1"/>
        <v>-223.4375</v>
      </c>
      <c r="L26" s="1">
        <f t="shared" si="3"/>
        <v>0.22343750000000001</v>
      </c>
    </row>
    <row r="27" spans="3:12" x14ac:dyDescent="0.25">
      <c r="C27" s="1">
        <v>24</v>
      </c>
      <c r="D27">
        <f t="shared" si="0"/>
        <v>812.5</v>
      </c>
      <c r="E27" s="1">
        <f t="shared" si="2"/>
        <v>-0.8125</v>
      </c>
      <c r="J27" s="1">
        <v>127</v>
      </c>
      <c r="K27">
        <f t="shared" si="1"/>
        <v>-233.59375</v>
      </c>
      <c r="L27" s="1">
        <f t="shared" si="3"/>
        <v>0.23359374999999999</v>
      </c>
    </row>
    <row r="28" spans="3:12" x14ac:dyDescent="0.25">
      <c r="C28" s="1">
        <v>25</v>
      </c>
      <c r="D28">
        <f t="shared" si="0"/>
        <v>802.34375</v>
      </c>
      <c r="E28" s="1">
        <f t="shared" si="2"/>
        <v>-0.80234375000000002</v>
      </c>
      <c r="J28" s="1">
        <v>128</v>
      </c>
      <c r="K28">
        <f t="shared" si="1"/>
        <v>-243.75</v>
      </c>
      <c r="L28" s="1">
        <f t="shared" si="3"/>
        <v>0.24374999999999999</v>
      </c>
    </row>
    <row r="29" spans="3:12" x14ac:dyDescent="0.25">
      <c r="C29" s="1">
        <v>26</v>
      </c>
      <c r="D29">
        <f t="shared" si="0"/>
        <v>792.1875</v>
      </c>
      <c r="E29" s="1">
        <f t="shared" si="2"/>
        <v>-0.79218750000000004</v>
      </c>
      <c r="J29" s="1">
        <v>129</v>
      </c>
      <c r="K29">
        <f t="shared" si="1"/>
        <v>-253.90625</v>
      </c>
      <c r="L29" s="1">
        <f t="shared" si="3"/>
        <v>0.25390625</v>
      </c>
    </row>
    <row r="30" spans="3:12" x14ac:dyDescent="0.25">
      <c r="C30" s="1">
        <v>27</v>
      </c>
      <c r="D30">
        <f t="shared" si="0"/>
        <v>782.03125</v>
      </c>
      <c r="E30" s="1">
        <f t="shared" si="2"/>
        <v>-0.78203124999999996</v>
      </c>
      <c r="J30" s="1">
        <v>130</v>
      </c>
      <c r="K30">
        <f t="shared" si="1"/>
        <v>-264.0625</v>
      </c>
      <c r="L30" s="1">
        <f t="shared" si="3"/>
        <v>0.26406249999999998</v>
      </c>
    </row>
    <row r="31" spans="3:12" x14ac:dyDescent="0.25">
      <c r="C31" s="1">
        <v>28</v>
      </c>
      <c r="D31">
        <f t="shared" si="0"/>
        <v>771.875</v>
      </c>
      <c r="E31" s="1">
        <f t="shared" si="2"/>
        <v>-0.77187499999999998</v>
      </c>
      <c r="J31" s="1">
        <v>131</v>
      </c>
      <c r="K31">
        <f t="shared" si="1"/>
        <v>-274.21875</v>
      </c>
      <c r="L31" s="1">
        <f t="shared" si="3"/>
        <v>0.27421875000000001</v>
      </c>
    </row>
    <row r="32" spans="3:12" x14ac:dyDescent="0.25">
      <c r="C32" s="1">
        <v>29</v>
      </c>
      <c r="D32">
        <f t="shared" si="0"/>
        <v>761.71875</v>
      </c>
      <c r="E32" s="1">
        <f t="shared" si="2"/>
        <v>-0.76171875</v>
      </c>
      <c r="J32" s="1">
        <v>132</v>
      </c>
      <c r="K32">
        <f t="shared" si="1"/>
        <v>-284.375</v>
      </c>
      <c r="L32" s="1">
        <f t="shared" si="3"/>
        <v>0.28437499999999999</v>
      </c>
    </row>
    <row r="33" spans="3:16" x14ac:dyDescent="0.25">
      <c r="C33" s="1">
        <v>30</v>
      </c>
      <c r="D33">
        <f t="shared" si="0"/>
        <v>751.5625</v>
      </c>
      <c r="E33" s="1">
        <f t="shared" si="2"/>
        <v>-0.75156250000000002</v>
      </c>
      <c r="J33" s="1">
        <v>133</v>
      </c>
      <c r="K33">
        <f t="shared" si="1"/>
        <v>-294.53125</v>
      </c>
      <c r="L33" s="1">
        <f t="shared" si="3"/>
        <v>0.29453125000000002</v>
      </c>
    </row>
    <row r="34" spans="3:16" x14ac:dyDescent="0.25">
      <c r="C34" s="1">
        <v>31</v>
      </c>
      <c r="D34">
        <f t="shared" si="0"/>
        <v>741.40625</v>
      </c>
      <c r="E34" s="1">
        <f t="shared" si="2"/>
        <v>-0.74140625000000004</v>
      </c>
      <c r="J34" s="1">
        <v>134</v>
      </c>
      <c r="K34">
        <f t="shared" si="1"/>
        <v>-304.6875</v>
      </c>
      <c r="L34" s="1">
        <f t="shared" si="3"/>
        <v>0.3046875</v>
      </c>
    </row>
    <row r="35" spans="3:16" x14ac:dyDescent="0.25">
      <c r="C35" s="1">
        <v>32</v>
      </c>
      <c r="D35">
        <f t="shared" si="0"/>
        <v>731.25</v>
      </c>
      <c r="E35" s="1">
        <f t="shared" si="2"/>
        <v>-0.73124999999999996</v>
      </c>
      <c r="J35" s="1">
        <v>135</v>
      </c>
      <c r="K35">
        <f t="shared" si="1"/>
        <v>-314.84375</v>
      </c>
      <c r="L35" s="1">
        <f t="shared" si="3"/>
        <v>0.31484374999999998</v>
      </c>
    </row>
    <row r="36" spans="3:16" x14ac:dyDescent="0.25">
      <c r="C36" s="1">
        <v>33</v>
      </c>
      <c r="D36">
        <f t="shared" ref="D36:D67" si="4">10.15625*(104-C36)</f>
        <v>721.09375</v>
      </c>
      <c r="E36" s="1">
        <f t="shared" si="2"/>
        <v>-0.72109374999999998</v>
      </c>
      <c r="J36" s="1">
        <v>136</v>
      </c>
      <c r="K36">
        <f t="shared" ref="K36:K67" si="5">10.15625*(104-J36)</f>
        <v>-325</v>
      </c>
      <c r="L36" s="1">
        <f t="shared" si="3"/>
        <v>0.32500000000000001</v>
      </c>
    </row>
    <row r="37" spans="3:16" x14ac:dyDescent="0.25">
      <c r="C37" s="1">
        <v>34</v>
      </c>
      <c r="D37">
        <f t="shared" si="4"/>
        <v>710.9375</v>
      </c>
      <c r="E37" s="1">
        <f t="shared" si="2"/>
        <v>-0.7109375</v>
      </c>
      <c r="J37" s="1">
        <v>137</v>
      </c>
      <c r="K37">
        <f t="shared" si="5"/>
        <v>-335.15625</v>
      </c>
      <c r="L37" s="1">
        <f t="shared" si="3"/>
        <v>0.33515624999999999</v>
      </c>
    </row>
    <row r="38" spans="3:16" x14ac:dyDescent="0.25">
      <c r="C38" s="1">
        <v>35</v>
      </c>
      <c r="D38">
        <f t="shared" si="4"/>
        <v>700.78125</v>
      </c>
      <c r="E38" s="1">
        <f t="shared" si="2"/>
        <v>-0.70078125000000002</v>
      </c>
      <c r="J38" s="1">
        <v>138</v>
      </c>
      <c r="K38">
        <f t="shared" si="5"/>
        <v>-345.3125</v>
      </c>
      <c r="L38" s="1">
        <f t="shared" si="3"/>
        <v>0.34531250000000002</v>
      </c>
    </row>
    <row r="39" spans="3:16" x14ac:dyDescent="0.25">
      <c r="C39" s="1">
        <v>36</v>
      </c>
      <c r="D39">
        <f t="shared" si="4"/>
        <v>690.625</v>
      </c>
      <c r="E39" s="1">
        <f t="shared" si="2"/>
        <v>-0.69062500000000004</v>
      </c>
      <c r="J39" s="1">
        <v>139</v>
      </c>
      <c r="K39">
        <f t="shared" si="5"/>
        <v>-355.46875</v>
      </c>
      <c r="L39" s="1">
        <f t="shared" si="3"/>
        <v>0.35546875</v>
      </c>
      <c r="P39">
        <f>248.4+L94</f>
        <v>249.31406250000001</v>
      </c>
    </row>
    <row r="40" spans="3:16" x14ac:dyDescent="0.25">
      <c r="C40" s="1">
        <v>37</v>
      </c>
      <c r="D40">
        <f t="shared" si="4"/>
        <v>680.46875</v>
      </c>
      <c r="E40" s="1">
        <f t="shared" si="2"/>
        <v>-0.68046874999999996</v>
      </c>
      <c r="J40" s="1">
        <v>140</v>
      </c>
      <c r="K40">
        <f t="shared" si="5"/>
        <v>-365.625</v>
      </c>
      <c r="L40" s="1">
        <f t="shared" si="3"/>
        <v>0.36562499999999998</v>
      </c>
      <c r="P40">
        <f>248.4+E17</f>
        <v>247.48593750000001</v>
      </c>
    </row>
    <row r="41" spans="3:16" x14ac:dyDescent="0.25">
      <c r="C41" s="1">
        <v>38</v>
      </c>
      <c r="D41">
        <f t="shared" si="4"/>
        <v>670.3125</v>
      </c>
      <c r="E41" s="1">
        <f t="shared" si="2"/>
        <v>-0.67031249999999998</v>
      </c>
      <c r="J41" s="1">
        <v>141</v>
      </c>
      <c r="K41">
        <f t="shared" si="5"/>
        <v>-375.78125</v>
      </c>
      <c r="L41" s="1">
        <f t="shared" si="3"/>
        <v>0.37578125000000001</v>
      </c>
    </row>
    <row r="42" spans="3:16" x14ac:dyDescent="0.25">
      <c r="C42" s="1">
        <v>39</v>
      </c>
      <c r="D42">
        <f t="shared" si="4"/>
        <v>660.15625</v>
      </c>
      <c r="E42" s="1">
        <f t="shared" si="2"/>
        <v>-0.66015625</v>
      </c>
      <c r="J42" s="1">
        <v>142</v>
      </c>
      <c r="K42">
        <f t="shared" si="5"/>
        <v>-385.9375</v>
      </c>
      <c r="L42" s="1">
        <f t="shared" si="3"/>
        <v>0.38593749999999999</v>
      </c>
    </row>
    <row r="43" spans="3:16" x14ac:dyDescent="0.25">
      <c r="C43" s="1">
        <v>40</v>
      </c>
      <c r="D43">
        <f t="shared" si="4"/>
        <v>650</v>
      </c>
      <c r="E43" s="1">
        <f t="shared" si="2"/>
        <v>-0.65</v>
      </c>
      <c r="J43" s="1">
        <v>143</v>
      </c>
      <c r="K43">
        <f t="shared" si="5"/>
        <v>-396.09375</v>
      </c>
      <c r="L43" s="1">
        <f t="shared" si="3"/>
        <v>0.39609375000000002</v>
      </c>
    </row>
    <row r="44" spans="3:16" x14ac:dyDescent="0.25">
      <c r="C44" s="1">
        <v>41</v>
      </c>
      <c r="D44">
        <f t="shared" si="4"/>
        <v>639.84375</v>
      </c>
      <c r="E44" s="1">
        <f t="shared" si="2"/>
        <v>-0.63984375000000004</v>
      </c>
      <c r="J44" s="1">
        <v>144</v>
      </c>
      <c r="K44">
        <f t="shared" si="5"/>
        <v>-406.25</v>
      </c>
      <c r="L44" s="1">
        <f t="shared" si="3"/>
        <v>0.40625</v>
      </c>
    </row>
    <row r="45" spans="3:16" x14ac:dyDescent="0.25">
      <c r="C45" s="1">
        <v>42</v>
      </c>
      <c r="D45">
        <f t="shared" si="4"/>
        <v>629.6875</v>
      </c>
      <c r="E45" s="1">
        <f t="shared" si="2"/>
        <v>-0.62968749999999996</v>
      </c>
      <c r="J45" s="1">
        <v>145</v>
      </c>
      <c r="K45">
        <f t="shared" si="5"/>
        <v>-416.40625</v>
      </c>
      <c r="L45" s="1">
        <f t="shared" si="3"/>
        <v>0.41640624999999998</v>
      </c>
    </row>
    <row r="46" spans="3:16" x14ac:dyDescent="0.25">
      <c r="C46" s="1">
        <v>43</v>
      </c>
      <c r="D46">
        <f t="shared" si="4"/>
        <v>619.53125</v>
      </c>
      <c r="E46" s="1">
        <f t="shared" si="2"/>
        <v>-0.61953124999999998</v>
      </c>
      <c r="J46" s="1">
        <v>146</v>
      </c>
      <c r="K46">
        <f t="shared" si="5"/>
        <v>-426.5625</v>
      </c>
      <c r="L46" s="1">
        <f t="shared" si="3"/>
        <v>0.42656250000000001</v>
      </c>
    </row>
    <row r="47" spans="3:16" x14ac:dyDescent="0.25">
      <c r="C47" s="1">
        <v>44</v>
      </c>
      <c r="D47">
        <f t="shared" si="4"/>
        <v>609.375</v>
      </c>
      <c r="E47" s="1">
        <f t="shared" si="2"/>
        <v>-0.609375</v>
      </c>
      <c r="J47" s="1">
        <v>147</v>
      </c>
      <c r="K47">
        <f t="shared" si="5"/>
        <v>-436.71875</v>
      </c>
      <c r="L47" s="1">
        <f t="shared" si="3"/>
        <v>0.43671874999999999</v>
      </c>
    </row>
    <row r="48" spans="3:16" x14ac:dyDescent="0.25">
      <c r="C48" s="1">
        <v>45</v>
      </c>
      <c r="D48">
        <f t="shared" si="4"/>
        <v>599.21875</v>
      </c>
      <c r="E48" s="1">
        <f t="shared" si="2"/>
        <v>-0.59921875000000002</v>
      </c>
      <c r="J48" s="1">
        <v>148</v>
      </c>
      <c r="K48">
        <f t="shared" si="5"/>
        <v>-446.875</v>
      </c>
      <c r="L48" s="1">
        <f t="shared" si="3"/>
        <v>0.44687500000000002</v>
      </c>
    </row>
    <row r="49" spans="3:12" x14ac:dyDescent="0.25">
      <c r="C49" s="1">
        <v>46</v>
      </c>
      <c r="D49">
        <f t="shared" si="4"/>
        <v>589.0625</v>
      </c>
      <c r="E49" s="1">
        <f t="shared" si="2"/>
        <v>-0.58906250000000004</v>
      </c>
      <c r="J49" s="1">
        <v>149</v>
      </c>
      <c r="K49">
        <f t="shared" si="5"/>
        <v>-457.03125</v>
      </c>
      <c r="L49" s="1">
        <f t="shared" si="3"/>
        <v>0.45703125</v>
      </c>
    </row>
    <row r="50" spans="3:12" x14ac:dyDescent="0.25">
      <c r="C50" s="1">
        <v>47</v>
      </c>
      <c r="D50">
        <f t="shared" si="4"/>
        <v>578.90625</v>
      </c>
      <c r="E50" s="1">
        <f t="shared" si="2"/>
        <v>-0.57890624999999996</v>
      </c>
      <c r="J50" s="1">
        <v>150</v>
      </c>
      <c r="K50">
        <f t="shared" si="5"/>
        <v>-467.1875</v>
      </c>
      <c r="L50" s="1">
        <f t="shared" si="3"/>
        <v>0.46718749999999998</v>
      </c>
    </row>
    <row r="51" spans="3:12" x14ac:dyDescent="0.25">
      <c r="C51" s="1">
        <v>48</v>
      </c>
      <c r="D51">
        <f t="shared" si="4"/>
        <v>568.75</v>
      </c>
      <c r="E51" s="1">
        <f t="shared" si="2"/>
        <v>-0.56874999999999998</v>
      </c>
      <c r="J51" s="1">
        <v>151</v>
      </c>
      <c r="K51">
        <f t="shared" si="5"/>
        <v>-477.34375</v>
      </c>
      <c r="L51" s="1">
        <f t="shared" si="3"/>
        <v>0.47734375000000001</v>
      </c>
    </row>
    <row r="52" spans="3:12" x14ac:dyDescent="0.25">
      <c r="C52" s="1">
        <v>49</v>
      </c>
      <c r="D52">
        <f t="shared" si="4"/>
        <v>558.59375</v>
      </c>
      <c r="E52" s="1">
        <f t="shared" si="2"/>
        <v>-0.55859375</v>
      </c>
      <c r="J52" s="1">
        <v>152</v>
      </c>
      <c r="K52">
        <f t="shared" si="5"/>
        <v>-487.5</v>
      </c>
      <c r="L52" s="1">
        <f t="shared" si="3"/>
        <v>0.48749999999999999</v>
      </c>
    </row>
    <row r="53" spans="3:12" x14ac:dyDescent="0.25">
      <c r="C53" s="1">
        <v>50</v>
      </c>
      <c r="D53">
        <f t="shared" si="4"/>
        <v>548.4375</v>
      </c>
      <c r="E53" s="1">
        <f t="shared" si="2"/>
        <v>-0.54843750000000002</v>
      </c>
      <c r="J53" s="1">
        <v>153</v>
      </c>
      <c r="K53">
        <f t="shared" si="5"/>
        <v>-497.65625</v>
      </c>
      <c r="L53" s="1">
        <f t="shared" si="3"/>
        <v>0.49765625000000002</v>
      </c>
    </row>
    <row r="54" spans="3:12" x14ac:dyDescent="0.25">
      <c r="C54" s="1">
        <v>51</v>
      </c>
      <c r="D54">
        <f t="shared" si="4"/>
        <v>538.28125</v>
      </c>
      <c r="E54" s="1">
        <f t="shared" si="2"/>
        <v>-0.53828125000000004</v>
      </c>
      <c r="J54" s="1">
        <v>154</v>
      </c>
      <c r="K54">
        <f t="shared" si="5"/>
        <v>-507.8125</v>
      </c>
      <c r="L54" s="1">
        <f t="shared" si="3"/>
        <v>0.5078125</v>
      </c>
    </row>
    <row r="55" spans="3:12" x14ac:dyDescent="0.25">
      <c r="C55" s="1">
        <v>52</v>
      </c>
      <c r="D55">
        <f t="shared" si="4"/>
        <v>528.125</v>
      </c>
      <c r="E55" s="1">
        <f t="shared" si="2"/>
        <v>-0.52812499999999996</v>
      </c>
      <c r="J55" s="1">
        <v>155</v>
      </c>
      <c r="K55">
        <f t="shared" si="5"/>
        <v>-517.96875</v>
      </c>
      <c r="L55" s="1">
        <f t="shared" si="3"/>
        <v>0.51796874999999998</v>
      </c>
    </row>
    <row r="56" spans="3:12" x14ac:dyDescent="0.25">
      <c r="C56" s="1">
        <v>53</v>
      </c>
      <c r="D56">
        <f t="shared" si="4"/>
        <v>517.96875</v>
      </c>
      <c r="E56" s="1">
        <f t="shared" si="2"/>
        <v>-0.51796874999999998</v>
      </c>
      <c r="J56" s="1">
        <v>156</v>
      </c>
      <c r="K56">
        <f t="shared" si="5"/>
        <v>-528.125</v>
      </c>
      <c r="L56" s="1">
        <f t="shared" si="3"/>
        <v>0.52812499999999996</v>
      </c>
    </row>
    <row r="57" spans="3:12" x14ac:dyDescent="0.25">
      <c r="C57" s="1">
        <v>54</v>
      </c>
      <c r="D57">
        <f t="shared" si="4"/>
        <v>507.8125</v>
      </c>
      <c r="E57" s="1">
        <f t="shared" si="2"/>
        <v>-0.5078125</v>
      </c>
      <c r="J57" s="1">
        <v>157</v>
      </c>
      <c r="K57">
        <f t="shared" si="5"/>
        <v>-538.28125</v>
      </c>
      <c r="L57" s="1">
        <f t="shared" si="3"/>
        <v>0.53828125000000004</v>
      </c>
    </row>
    <row r="58" spans="3:12" x14ac:dyDescent="0.25">
      <c r="C58" s="1">
        <v>55</v>
      </c>
      <c r="D58">
        <f t="shared" si="4"/>
        <v>497.65625</v>
      </c>
      <c r="E58" s="1">
        <f t="shared" si="2"/>
        <v>-0.49765625000000002</v>
      </c>
      <c r="J58" s="1">
        <v>158</v>
      </c>
      <c r="K58">
        <f t="shared" si="5"/>
        <v>-548.4375</v>
      </c>
      <c r="L58" s="1">
        <f t="shared" si="3"/>
        <v>0.54843750000000002</v>
      </c>
    </row>
    <row r="59" spans="3:12" x14ac:dyDescent="0.25">
      <c r="C59" s="1">
        <v>56</v>
      </c>
      <c r="D59">
        <f t="shared" si="4"/>
        <v>487.5</v>
      </c>
      <c r="E59" s="1">
        <f t="shared" si="2"/>
        <v>-0.48749999999999999</v>
      </c>
      <c r="J59" s="1">
        <v>159</v>
      </c>
      <c r="K59">
        <f t="shared" si="5"/>
        <v>-558.59375</v>
      </c>
      <c r="L59" s="1">
        <f t="shared" si="3"/>
        <v>0.55859375</v>
      </c>
    </row>
    <row r="60" spans="3:12" x14ac:dyDescent="0.25">
      <c r="C60" s="1">
        <v>57</v>
      </c>
      <c r="D60">
        <f t="shared" si="4"/>
        <v>477.34375</v>
      </c>
      <c r="E60" s="1">
        <f t="shared" si="2"/>
        <v>-0.47734375000000001</v>
      </c>
      <c r="J60" s="1">
        <v>160</v>
      </c>
      <c r="K60">
        <f t="shared" si="5"/>
        <v>-568.75</v>
      </c>
      <c r="L60" s="1">
        <f t="shared" si="3"/>
        <v>0.56874999999999998</v>
      </c>
    </row>
    <row r="61" spans="3:12" x14ac:dyDescent="0.25">
      <c r="C61" s="1">
        <v>58</v>
      </c>
      <c r="D61">
        <f t="shared" si="4"/>
        <v>467.1875</v>
      </c>
      <c r="E61" s="1">
        <f t="shared" si="2"/>
        <v>-0.46718749999999998</v>
      </c>
      <c r="J61" s="1">
        <v>161</v>
      </c>
      <c r="K61">
        <f t="shared" si="5"/>
        <v>-578.90625</v>
      </c>
      <c r="L61" s="1">
        <f t="shared" si="3"/>
        <v>0.57890624999999996</v>
      </c>
    </row>
    <row r="62" spans="3:12" x14ac:dyDescent="0.25">
      <c r="C62" s="1">
        <v>59</v>
      </c>
      <c r="D62">
        <f t="shared" si="4"/>
        <v>457.03125</v>
      </c>
      <c r="E62" s="1">
        <f t="shared" si="2"/>
        <v>-0.45703125</v>
      </c>
      <c r="J62" s="1">
        <v>162</v>
      </c>
      <c r="K62">
        <f t="shared" si="5"/>
        <v>-589.0625</v>
      </c>
      <c r="L62" s="1">
        <f t="shared" si="3"/>
        <v>0.58906250000000004</v>
      </c>
    </row>
    <row r="63" spans="3:12" x14ac:dyDescent="0.25">
      <c r="C63" s="1">
        <v>60</v>
      </c>
      <c r="D63">
        <f t="shared" si="4"/>
        <v>446.875</v>
      </c>
      <c r="E63" s="1">
        <f t="shared" si="2"/>
        <v>-0.44687500000000002</v>
      </c>
      <c r="J63" s="1">
        <v>163</v>
      </c>
      <c r="K63">
        <f t="shared" si="5"/>
        <v>-599.21875</v>
      </c>
      <c r="L63" s="1">
        <f t="shared" si="3"/>
        <v>0.59921875000000002</v>
      </c>
    </row>
    <row r="64" spans="3:12" x14ac:dyDescent="0.25">
      <c r="C64" s="1">
        <v>61</v>
      </c>
      <c r="D64">
        <f t="shared" si="4"/>
        <v>436.71875</v>
      </c>
      <c r="E64" s="1">
        <f t="shared" si="2"/>
        <v>-0.43671874999999999</v>
      </c>
      <c r="J64" s="1">
        <v>164</v>
      </c>
      <c r="K64">
        <f t="shared" si="5"/>
        <v>-609.375</v>
      </c>
      <c r="L64" s="1">
        <f t="shared" si="3"/>
        <v>0.609375</v>
      </c>
    </row>
    <row r="65" spans="3:12" x14ac:dyDescent="0.25">
      <c r="C65" s="1">
        <v>62</v>
      </c>
      <c r="D65">
        <f t="shared" si="4"/>
        <v>426.5625</v>
      </c>
      <c r="E65" s="1">
        <f t="shared" si="2"/>
        <v>-0.42656250000000001</v>
      </c>
      <c r="J65" s="1">
        <v>165</v>
      </c>
      <c r="K65">
        <f t="shared" si="5"/>
        <v>-619.53125</v>
      </c>
      <c r="L65" s="1">
        <f t="shared" si="3"/>
        <v>0.61953124999999998</v>
      </c>
    </row>
    <row r="66" spans="3:12" x14ac:dyDescent="0.25">
      <c r="C66" s="1">
        <v>63</v>
      </c>
      <c r="D66">
        <f t="shared" si="4"/>
        <v>416.40625</v>
      </c>
      <c r="E66" s="1">
        <f t="shared" si="2"/>
        <v>-0.41640624999999998</v>
      </c>
      <c r="J66" s="1">
        <v>166</v>
      </c>
      <c r="K66">
        <f t="shared" si="5"/>
        <v>-629.6875</v>
      </c>
      <c r="L66" s="1">
        <f t="shared" si="3"/>
        <v>0.62968749999999996</v>
      </c>
    </row>
    <row r="67" spans="3:12" x14ac:dyDescent="0.25">
      <c r="C67" s="1">
        <v>64</v>
      </c>
      <c r="D67">
        <f t="shared" si="4"/>
        <v>406.25</v>
      </c>
      <c r="E67" s="1">
        <f t="shared" si="2"/>
        <v>-0.40625</v>
      </c>
      <c r="J67" s="1">
        <v>167</v>
      </c>
      <c r="K67">
        <f t="shared" si="5"/>
        <v>-639.84375</v>
      </c>
      <c r="L67" s="1">
        <f t="shared" si="3"/>
        <v>0.63984375000000004</v>
      </c>
    </row>
    <row r="68" spans="3:12" x14ac:dyDescent="0.25">
      <c r="C68" s="1">
        <v>65</v>
      </c>
      <c r="D68">
        <f t="shared" ref="D68:D99" si="6">10.15625*(104-C68)</f>
        <v>396.09375</v>
      </c>
      <c r="E68" s="1">
        <f t="shared" si="2"/>
        <v>-0.39609375000000002</v>
      </c>
      <c r="J68" s="1">
        <v>168</v>
      </c>
      <c r="K68">
        <f t="shared" ref="K68:K99" si="7">10.15625*(104-J68)</f>
        <v>-650</v>
      </c>
      <c r="L68" s="1">
        <f t="shared" si="3"/>
        <v>0.65</v>
      </c>
    </row>
    <row r="69" spans="3:12" x14ac:dyDescent="0.25">
      <c r="C69" s="1">
        <v>66</v>
      </c>
      <c r="D69">
        <f t="shared" si="6"/>
        <v>385.9375</v>
      </c>
      <c r="E69" s="1">
        <f t="shared" ref="E69:E106" si="8">($N$8-D69)/1000</f>
        <v>-0.38593749999999999</v>
      </c>
      <c r="J69" s="1">
        <v>169</v>
      </c>
      <c r="K69">
        <f t="shared" si="7"/>
        <v>-660.15625</v>
      </c>
      <c r="L69" s="1">
        <f t="shared" ref="L69:L107" si="9">($N$8-K69)/1000</f>
        <v>0.66015625</v>
      </c>
    </row>
    <row r="70" spans="3:12" x14ac:dyDescent="0.25">
      <c r="C70" s="1">
        <v>67</v>
      </c>
      <c r="D70">
        <f t="shared" si="6"/>
        <v>375.78125</v>
      </c>
      <c r="E70" s="1">
        <f t="shared" si="8"/>
        <v>-0.37578125000000001</v>
      </c>
      <c r="J70" s="1">
        <v>170</v>
      </c>
      <c r="K70">
        <f t="shared" si="7"/>
        <v>-670.3125</v>
      </c>
      <c r="L70" s="1">
        <f t="shared" si="9"/>
        <v>0.67031249999999998</v>
      </c>
    </row>
    <row r="71" spans="3:12" x14ac:dyDescent="0.25">
      <c r="C71" s="1">
        <v>68</v>
      </c>
      <c r="D71">
        <f t="shared" si="6"/>
        <v>365.625</v>
      </c>
      <c r="E71" s="1">
        <f t="shared" si="8"/>
        <v>-0.36562499999999998</v>
      </c>
      <c r="J71" s="1">
        <v>171</v>
      </c>
      <c r="K71">
        <f t="shared" si="7"/>
        <v>-680.46875</v>
      </c>
      <c r="L71" s="1">
        <f t="shared" si="9"/>
        <v>0.68046874999999996</v>
      </c>
    </row>
    <row r="72" spans="3:12" x14ac:dyDescent="0.25">
      <c r="C72" s="1">
        <v>69</v>
      </c>
      <c r="D72">
        <f t="shared" si="6"/>
        <v>355.46875</v>
      </c>
      <c r="E72" s="1">
        <f t="shared" si="8"/>
        <v>-0.35546875</v>
      </c>
      <c r="J72" s="1">
        <v>172</v>
      </c>
      <c r="K72">
        <f t="shared" si="7"/>
        <v>-690.625</v>
      </c>
      <c r="L72" s="1">
        <f t="shared" si="9"/>
        <v>0.69062500000000004</v>
      </c>
    </row>
    <row r="73" spans="3:12" x14ac:dyDescent="0.25">
      <c r="C73" s="1">
        <v>70</v>
      </c>
      <c r="D73">
        <f t="shared" si="6"/>
        <v>345.3125</v>
      </c>
      <c r="E73" s="1">
        <f t="shared" si="8"/>
        <v>-0.34531250000000002</v>
      </c>
      <c r="J73" s="1">
        <v>173</v>
      </c>
      <c r="K73">
        <f t="shared" si="7"/>
        <v>-700.78125</v>
      </c>
      <c r="L73" s="1">
        <f t="shared" si="9"/>
        <v>0.70078125000000002</v>
      </c>
    </row>
    <row r="74" spans="3:12" x14ac:dyDescent="0.25">
      <c r="C74" s="1">
        <v>71</v>
      </c>
      <c r="D74">
        <f t="shared" si="6"/>
        <v>335.15625</v>
      </c>
      <c r="E74" s="1">
        <f t="shared" si="8"/>
        <v>-0.33515624999999999</v>
      </c>
      <c r="J74" s="1">
        <v>174</v>
      </c>
      <c r="K74">
        <f t="shared" si="7"/>
        <v>-710.9375</v>
      </c>
      <c r="L74" s="1">
        <f t="shared" si="9"/>
        <v>0.7109375</v>
      </c>
    </row>
    <row r="75" spans="3:12" x14ac:dyDescent="0.25">
      <c r="C75" s="1">
        <v>72</v>
      </c>
      <c r="D75">
        <f t="shared" si="6"/>
        <v>325</v>
      </c>
      <c r="E75" s="1">
        <f t="shared" si="8"/>
        <v>-0.32500000000000001</v>
      </c>
      <c r="J75" s="1">
        <v>175</v>
      </c>
      <c r="K75">
        <f t="shared" si="7"/>
        <v>-721.09375</v>
      </c>
      <c r="L75" s="1">
        <f t="shared" si="9"/>
        <v>0.72109374999999998</v>
      </c>
    </row>
    <row r="76" spans="3:12" x14ac:dyDescent="0.25">
      <c r="C76" s="1">
        <v>73</v>
      </c>
      <c r="D76">
        <f t="shared" si="6"/>
        <v>314.84375</v>
      </c>
      <c r="E76" s="1">
        <f t="shared" si="8"/>
        <v>-0.31484374999999998</v>
      </c>
      <c r="J76" s="1">
        <v>176</v>
      </c>
      <c r="K76">
        <f t="shared" si="7"/>
        <v>-731.25</v>
      </c>
      <c r="L76" s="1">
        <f t="shared" si="9"/>
        <v>0.73124999999999996</v>
      </c>
    </row>
    <row r="77" spans="3:12" x14ac:dyDescent="0.25">
      <c r="C77" s="1">
        <v>74</v>
      </c>
      <c r="D77">
        <f t="shared" si="6"/>
        <v>304.6875</v>
      </c>
      <c r="E77" s="1">
        <f t="shared" si="8"/>
        <v>-0.3046875</v>
      </c>
      <c r="J77" s="1">
        <v>177</v>
      </c>
      <c r="K77">
        <f t="shared" si="7"/>
        <v>-741.40625</v>
      </c>
      <c r="L77" s="1">
        <f t="shared" si="9"/>
        <v>0.74140625000000004</v>
      </c>
    </row>
    <row r="78" spans="3:12" x14ac:dyDescent="0.25">
      <c r="C78" s="1">
        <v>75</v>
      </c>
      <c r="D78">
        <f t="shared" si="6"/>
        <v>294.53125</v>
      </c>
      <c r="E78" s="1">
        <f t="shared" si="8"/>
        <v>-0.29453125000000002</v>
      </c>
      <c r="J78" s="1">
        <v>178</v>
      </c>
      <c r="K78">
        <f t="shared" si="7"/>
        <v>-751.5625</v>
      </c>
      <c r="L78" s="1">
        <f t="shared" si="9"/>
        <v>0.75156250000000002</v>
      </c>
    </row>
    <row r="79" spans="3:12" x14ac:dyDescent="0.25">
      <c r="C79" s="1">
        <v>76</v>
      </c>
      <c r="D79">
        <f t="shared" si="6"/>
        <v>284.375</v>
      </c>
      <c r="E79" s="1">
        <f t="shared" si="8"/>
        <v>-0.28437499999999999</v>
      </c>
      <c r="J79" s="1">
        <v>179</v>
      </c>
      <c r="K79">
        <f t="shared" si="7"/>
        <v>-761.71875</v>
      </c>
      <c r="L79" s="1">
        <f t="shared" si="9"/>
        <v>0.76171875</v>
      </c>
    </row>
    <row r="80" spans="3:12" x14ac:dyDescent="0.25">
      <c r="C80" s="1">
        <v>77</v>
      </c>
      <c r="D80">
        <f t="shared" si="6"/>
        <v>274.21875</v>
      </c>
      <c r="E80" s="1">
        <f t="shared" si="8"/>
        <v>-0.27421875000000001</v>
      </c>
      <c r="J80" s="1">
        <v>180</v>
      </c>
      <c r="K80">
        <f t="shared" si="7"/>
        <v>-771.875</v>
      </c>
      <c r="L80" s="1">
        <f t="shared" si="9"/>
        <v>0.77187499999999998</v>
      </c>
    </row>
    <row r="81" spans="3:15" x14ac:dyDescent="0.25">
      <c r="C81" s="1">
        <v>78</v>
      </c>
      <c r="D81">
        <f t="shared" si="6"/>
        <v>264.0625</v>
      </c>
      <c r="E81" s="1">
        <f t="shared" si="8"/>
        <v>-0.26406249999999998</v>
      </c>
      <c r="J81" s="1">
        <v>181</v>
      </c>
      <c r="K81">
        <f t="shared" si="7"/>
        <v>-782.03125</v>
      </c>
      <c r="L81" s="1">
        <f t="shared" si="9"/>
        <v>0.78203124999999996</v>
      </c>
    </row>
    <row r="82" spans="3:15" x14ac:dyDescent="0.25">
      <c r="C82" s="1">
        <v>79</v>
      </c>
      <c r="D82">
        <f t="shared" si="6"/>
        <v>253.90625</v>
      </c>
      <c r="E82" s="1">
        <f t="shared" si="8"/>
        <v>-0.25390625</v>
      </c>
      <c r="J82" s="1">
        <v>182</v>
      </c>
      <c r="K82">
        <f t="shared" si="7"/>
        <v>-792.1875</v>
      </c>
      <c r="L82" s="1">
        <f t="shared" si="9"/>
        <v>0.79218750000000004</v>
      </c>
    </row>
    <row r="83" spans="3:15" x14ac:dyDescent="0.25">
      <c r="C83" s="1">
        <v>80</v>
      </c>
      <c r="D83">
        <f t="shared" si="6"/>
        <v>243.75</v>
      </c>
      <c r="E83" s="1">
        <f t="shared" si="8"/>
        <v>-0.24374999999999999</v>
      </c>
      <c r="J83" s="1">
        <v>183</v>
      </c>
      <c r="K83">
        <f t="shared" si="7"/>
        <v>-802.34375</v>
      </c>
      <c r="L83" s="1">
        <f t="shared" si="9"/>
        <v>0.80234375000000002</v>
      </c>
    </row>
    <row r="84" spans="3:15" x14ac:dyDescent="0.25">
      <c r="C84" s="1">
        <v>81</v>
      </c>
      <c r="D84">
        <f t="shared" si="6"/>
        <v>233.59375</v>
      </c>
      <c r="E84" s="1">
        <f t="shared" si="8"/>
        <v>-0.23359374999999999</v>
      </c>
      <c r="J84" s="1">
        <v>184</v>
      </c>
      <c r="K84">
        <f t="shared" si="7"/>
        <v>-812.5</v>
      </c>
      <c r="L84" s="1">
        <f t="shared" si="9"/>
        <v>0.8125</v>
      </c>
    </row>
    <row r="85" spans="3:15" x14ac:dyDescent="0.25">
      <c r="C85" s="1">
        <v>82</v>
      </c>
      <c r="D85">
        <f t="shared" si="6"/>
        <v>223.4375</v>
      </c>
      <c r="E85" s="1">
        <f t="shared" si="8"/>
        <v>-0.22343750000000001</v>
      </c>
      <c r="J85" s="1">
        <v>185</v>
      </c>
      <c r="K85">
        <f t="shared" si="7"/>
        <v>-822.65625</v>
      </c>
      <c r="L85" s="1">
        <f t="shared" si="9"/>
        <v>0.82265624999999998</v>
      </c>
    </row>
    <row r="86" spans="3:15" x14ac:dyDescent="0.25">
      <c r="C86" s="1">
        <v>83</v>
      </c>
      <c r="D86">
        <f t="shared" si="6"/>
        <v>213.28125</v>
      </c>
      <c r="E86" s="1">
        <f t="shared" si="8"/>
        <v>-0.21328125000000001</v>
      </c>
      <c r="J86" s="1">
        <v>186</v>
      </c>
      <c r="K86">
        <f t="shared" si="7"/>
        <v>-832.8125</v>
      </c>
      <c r="L86" s="1">
        <f t="shared" si="9"/>
        <v>0.83281249999999996</v>
      </c>
    </row>
    <row r="87" spans="3:15" x14ac:dyDescent="0.25">
      <c r="C87" s="1">
        <v>84</v>
      </c>
      <c r="D87">
        <f t="shared" si="6"/>
        <v>203.125</v>
      </c>
      <c r="E87" s="1">
        <f t="shared" si="8"/>
        <v>-0.203125</v>
      </c>
      <c r="J87" s="1">
        <v>187</v>
      </c>
      <c r="K87">
        <f t="shared" si="7"/>
        <v>-842.96875</v>
      </c>
      <c r="L87" s="1">
        <f t="shared" si="9"/>
        <v>0.84296875000000004</v>
      </c>
    </row>
    <row r="88" spans="3:15" x14ac:dyDescent="0.25">
      <c r="C88" s="1">
        <v>85</v>
      </c>
      <c r="D88">
        <f t="shared" si="6"/>
        <v>192.96875</v>
      </c>
      <c r="E88" s="1">
        <f t="shared" si="8"/>
        <v>-0.19296874999999999</v>
      </c>
      <c r="J88" s="1">
        <v>188</v>
      </c>
      <c r="K88">
        <f t="shared" si="7"/>
        <v>-853.125</v>
      </c>
      <c r="L88" s="1">
        <f t="shared" si="9"/>
        <v>0.85312500000000002</v>
      </c>
    </row>
    <row r="89" spans="3:15" x14ac:dyDescent="0.25">
      <c r="C89" s="1">
        <v>86</v>
      </c>
      <c r="D89">
        <f t="shared" si="6"/>
        <v>182.8125</v>
      </c>
      <c r="E89" s="1">
        <f t="shared" si="8"/>
        <v>-0.18281249999999999</v>
      </c>
      <c r="J89" s="1">
        <v>189</v>
      </c>
      <c r="K89">
        <f t="shared" si="7"/>
        <v>-863.28125</v>
      </c>
      <c r="L89" s="1">
        <f t="shared" si="9"/>
        <v>0.86328125</v>
      </c>
    </row>
    <row r="90" spans="3:15" x14ac:dyDescent="0.25">
      <c r="C90" s="1">
        <v>87</v>
      </c>
      <c r="D90">
        <f t="shared" si="6"/>
        <v>172.65625</v>
      </c>
      <c r="E90" s="1">
        <f t="shared" si="8"/>
        <v>-0.17265625000000001</v>
      </c>
      <c r="J90" s="1">
        <v>190</v>
      </c>
      <c r="K90">
        <f t="shared" si="7"/>
        <v>-873.4375</v>
      </c>
      <c r="L90" s="1">
        <f t="shared" si="9"/>
        <v>0.87343749999999998</v>
      </c>
    </row>
    <row r="91" spans="3:15" x14ac:dyDescent="0.25">
      <c r="C91" s="1">
        <v>88</v>
      </c>
      <c r="D91">
        <f t="shared" si="6"/>
        <v>162.5</v>
      </c>
      <c r="E91" s="1">
        <f t="shared" si="8"/>
        <v>-0.16250000000000001</v>
      </c>
      <c r="J91" s="1">
        <v>191</v>
      </c>
      <c r="K91">
        <f t="shared" si="7"/>
        <v>-883.59375</v>
      </c>
      <c r="L91" s="1">
        <f t="shared" si="9"/>
        <v>0.88359374999999996</v>
      </c>
    </row>
    <row r="92" spans="3:15" x14ac:dyDescent="0.25">
      <c r="C92" s="1">
        <v>89</v>
      </c>
      <c r="D92">
        <f t="shared" si="6"/>
        <v>152.34375</v>
      </c>
      <c r="E92" s="1">
        <f t="shared" si="8"/>
        <v>-0.15234375</v>
      </c>
      <c r="J92" s="1">
        <v>192</v>
      </c>
      <c r="K92">
        <f t="shared" si="7"/>
        <v>-893.75</v>
      </c>
      <c r="L92" s="1">
        <f t="shared" si="9"/>
        <v>0.89375000000000004</v>
      </c>
    </row>
    <row r="93" spans="3:15" x14ac:dyDescent="0.25">
      <c r="C93" s="1">
        <v>90</v>
      </c>
      <c r="D93">
        <f t="shared" si="6"/>
        <v>142.1875</v>
      </c>
      <c r="E93" s="1">
        <f t="shared" si="8"/>
        <v>-0.14218749999999999</v>
      </c>
      <c r="J93" s="1">
        <v>193</v>
      </c>
      <c r="K93">
        <f t="shared" si="7"/>
        <v>-903.90625</v>
      </c>
      <c r="L93" s="1">
        <f t="shared" si="9"/>
        <v>0.90390625000000002</v>
      </c>
    </row>
    <row r="94" spans="3:15" x14ac:dyDescent="0.25">
      <c r="C94" s="1">
        <v>91</v>
      </c>
      <c r="D94">
        <f t="shared" si="6"/>
        <v>132.03125</v>
      </c>
      <c r="E94" s="1">
        <f t="shared" si="8"/>
        <v>-0.13203124999999999</v>
      </c>
      <c r="J94" s="1">
        <v>194</v>
      </c>
      <c r="K94">
        <f t="shared" si="7"/>
        <v>-914.0625</v>
      </c>
      <c r="L94" s="1">
        <f>($N$8-K94)/1000</f>
        <v>0.9140625</v>
      </c>
      <c r="N94">
        <v>-0.91406200000000126</v>
      </c>
      <c r="O94">
        <f>N94+L94</f>
        <v>4.9999999873762135E-7</v>
      </c>
    </row>
    <row r="95" spans="3:15" x14ac:dyDescent="0.25">
      <c r="C95" s="1">
        <v>92</v>
      </c>
      <c r="D95">
        <f t="shared" si="6"/>
        <v>121.875</v>
      </c>
      <c r="E95" s="1">
        <f t="shared" si="8"/>
        <v>-0.121875</v>
      </c>
      <c r="J95" s="1">
        <v>195</v>
      </c>
      <c r="K95">
        <f t="shared" si="7"/>
        <v>-924.21875</v>
      </c>
      <c r="L95" s="1">
        <f t="shared" si="9"/>
        <v>0.92421874999999998</v>
      </c>
    </row>
    <row r="96" spans="3:15" x14ac:dyDescent="0.25">
      <c r="C96" s="1">
        <v>93</v>
      </c>
      <c r="D96">
        <f t="shared" si="6"/>
        <v>111.71875</v>
      </c>
      <c r="E96" s="1">
        <f t="shared" si="8"/>
        <v>-0.11171875000000001</v>
      </c>
      <c r="J96" s="1">
        <v>196</v>
      </c>
      <c r="K96">
        <f t="shared" si="7"/>
        <v>-934.375</v>
      </c>
      <c r="L96" s="1">
        <f t="shared" si="9"/>
        <v>0.93437499999999996</v>
      </c>
    </row>
    <row r="97" spans="3:12" x14ac:dyDescent="0.25">
      <c r="C97" s="1">
        <v>94</v>
      </c>
      <c r="D97">
        <f t="shared" si="6"/>
        <v>101.5625</v>
      </c>
      <c r="E97" s="1">
        <f t="shared" si="8"/>
        <v>-0.1015625</v>
      </c>
      <c r="J97" s="1">
        <v>197</v>
      </c>
      <c r="K97">
        <f t="shared" si="7"/>
        <v>-944.53125</v>
      </c>
      <c r="L97" s="1">
        <f t="shared" si="9"/>
        <v>0.94453125000000004</v>
      </c>
    </row>
    <row r="98" spans="3:12" x14ac:dyDescent="0.25">
      <c r="C98" s="1">
        <v>95</v>
      </c>
      <c r="D98">
        <f t="shared" si="6"/>
        <v>91.40625</v>
      </c>
      <c r="E98" s="1">
        <f t="shared" si="8"/>
        <v>-9.1406249999999994E-2</v>
      </c>
      <c r="J98" s="1">
        <v>198</v>
      </c>
      <c r="K98">
        <f t="shared" si="7"/>
        <v>-954.6875</v>
      </c>
      <c r="L98" s="1">
        <f t="shared" si="9"/>
        <v>0.95468750000000002</v>
      </c>
    </row>
    <row r="99" spans="3:12" x14ac:dyDescent="0.25">
      <c r="C99" s="1">
        <v>96</v>
      </c>
      <c r="D99">
        <f t="shared" si="6"/>
        <v>81.25</v>
      </c>
      <c r="E99" s="1">
        <f t="shared" si="8"/>
        <v>-8.1250000000000003E-2</v>
      </c>
      <c r="J99" s="1">
        <v>199</v>
      </c>
      <c r="K99">
        <f t="shared" si="7"/>
        <v>-964.84375</v>
      </c>
      <c r="L99" s="1">
        <f t="shared" si="9"/>
        <v>0.96484375</v>
      </c>
    </row>
    <row r="100" spans="3:12" x14ac:dyDescent="0.25">
      <c r="C100" s="1">
        <v>97</v>
      </c>
      <c r="D100">
        <f t="shared" ref="D100:D106" si="10">10.15625*(104-C100)</f>
        <v>71.09375</v>
      </c>
      <c r="E100" s="1">
        <f t="shared" si="8"/>
        <v>-7.1093749999999997E-2</v>
      </c>
      <c r="J100" s="1">
        <v>200</v>
      </c>
      <c r="K100">
        <f t="shared" ref="K100:K107" si="11">10.15625*(104-J100)</f>
        <v>-975</v>
      </c>
      <c r="L100" s="1">
        <f t="shared" si="9"/>
        <v>0.97499999999999998</v>
      </c>
    </row>
    <row r="101" spans="3:12" x14ac:dyDescent="0.25">
      <c r="C101" s="1">
        <v>98</v>
      </c>
      <c r="D101">
        <f t="shared" si="10"/>
        <v>60.9375</v>
      </c>
      <c r="E101" s="1">
        <f t="shared" si="8"/>
        <v>-6.0937499999999999E-2</v>
      </c>
      <c r="J101" s="1">
        <v>201</v>
      </c>
      <c r="K101">
        <f t="shared" si="11"/>
        <v>-985.15625</v>
      </c>
      <c r="L101" s="1">
        <f t="shared" si="9"/>
        <v>0.98515624999999996</v>
      </c>
    </row>
    <row r="102" spans="3:12" x14ac:dyDescent="0.25">
      <c r="C102" s="1">
        <v>99</v>
      </c>
      <c r="D102">
        <f t="shared" si="10"/>
        <v>50.78125</v>
      </c>
      <c r="E102" s="1">
        <f t="shared" si="8"/>
        <v>-5.078125E-2</v>
      </c>
      <c r="J102" s="1">
        <v>202</v>
      </c>
      <c r="K102">
        <f t="shared" si="11"/>
        <v>-995.3125</v>
      </c>
      <c r="L102" s="1">
        <f t="shared" si="9"/>
        <v>0.99531250000000004</v>
      </c>
    </row>
    <row r="103" spans="3:12" x14ac:dyDescent="0.25">
      <c r="C103" s="1">
        <v>100</v>
      </c>
      <c r="D103">
        <f t="shared" si="10"/>
        <v>40.625</v>
      </c>
      <c r="E103" s="1">
        <f t="shared" si="8"/>
        <v>-4.0625000000000001E-2</v>
      </c>
      <c r="J103" s="1">
        <v>203</v>
      </c>
      <c r="K103">
        <f t="shared" si="11"/>
        <v>-1005.46875</v>
      </c>
      <c r="L103" s="1">
        <f t="shared" si="9"/>
        <v>1.0054687499999999</v>
      </c>
    </row>
    <row r="104" spans="3:12" x14ac:dyDescent="0.25">
      <c r="C104" s="1">
        <v>101</v>
      </c>
      <c r="D104">
        <f t="shared" si="10"/>
        <v>30.46875</v>
      </c>
      <c r="E104" s="1">
        <f t="shared" si="8"/>
        <v>-3.0468749999999999E-2</v>
      </c>
      <c r="J104" s="1">
        <v>204</v>
      </c>
      <c r="K104">
        <f t="shared" si="11"/>
        <v>-1015.625</v>
      </c>
      <c r="L104" s="1">
        <f t="shared" si="9"/>
        <v>1.015625</v>
      </c>
    </row>
    <row r="105" spans="3:12" x14ac:dyDescent="0.25">
      <c r="C105" s="1">
        <v>102</v>
      </c>
      <c r="D105">
        <f t="shared" si="10"/>
        <v>20.3125</v>
      </c>
      <c r="E105" s="1">
        <f t="shared" si="8"/>
        <v>-2.0312500000000001E-2</v>
      </c>
      <c r="J105" s="1">
        <v>205</v>
      </c>
      <c r="K105">
        <f t="shared" si="11"/>
        <v>-1025.78125</v>
      </c>
      <c r="L105" s="1">
        <f t="shared" si="9"/>
        <v>1.0257812500000001</v>
      </c>
    </row>
    <row r="106" spans="3:12" x14ac:dyDescent="0.25">
      <c r="C106" s="1">
        <v>103</v>
      </c>
      <c r="D106">
        <f t="shared" si="10"/>
        <v>10.15625</v>
      </c>
      <c r="E106" s="1">
        <f t="shared" si="8"/>
        <v>-1.015625E-2</v>
      </c>
      <c r="J106" s="1">
        <v>206</v>
      </c>
      <c r="K106">
        <f t="shared" si="11"/>
        <v>-1035.9375</v>
      </c>
      <c r="L106" s="1">
        <f t="shared" si="9"/>
        <v>1.0359375</v>
      </c>
    </row>
    <row r="107" spans="3:12" x14ac:dyDescent="0.25">
      <c r="J107" s="1">
        <v>207</v>
      </c>
      <c r="K107">
        <f t="shared" si="11"/>
        <v>-1046.09375</v>
      </c>
      <c r="L107" s="1">
        <f t="shared" si="9"/>
        <v>1.04609375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2025-05-27T16:00:00Z</dcterms:modified>
</cp:coreProperties>
</file>